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d97fb172e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c777194dc750481f"/>
    <x:sheet xmlns:r="http://schemas.openxmlformats.org/officeDocument/2006/relationships" name="Caso_Indice_V9" sheetId="2" r:id="R0904bc4495f04f01"/>
    <x:sheet xmlns:r="http://schemas.openxmlformats.org/officeDocument/2006/relationships" name="Contatos_Importar" sheetId="3" r:id="R159e1436f45444a6"/>
    <x:sheet xmlns:r="http://schemas.openxmlformats.org/officeDocument/2006/relationships" name="Opcoes" sheetId="4" r:id="Ree32bf6988624b69"/>
    <x:sheet xmlns:r="http://schemas.openxmlformats.org/officeDocument/2006/relationships" name="Painel" sheetId="5" r:id="R6086130b49ec487b"/>
    <x:sheet xmlns:r="http://schemas.openxmlformats.org/officeDocument/2006/relationships" name="Exemplo_Preenchido" sheetId="6" r:id="R01283a0e88ae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60c40e5594334" /><Relationship Type="http://schemas.openxmlformats.org/officeDocument/2006/relationships/theme" Target="/xl/theme/theme1.xml" Id="R5924c87c748d4d01" /><Relationship Type="http://schemas.openxmlformats.org/officeDocument/2006/relationships/sharedStrings" Target="/xl/sharedStrings.xml" Id="R4d3f10dd53ea4ac1" /><Relationship Type="http://schemas.openxmlformats.org/officeDocument/2006/relationships/worksheet" Target="/xl/worksheets/sheet1.xml" Id="Rc777194dc750481f" /><Relationship Type="http://schemas.openxmlformats.org/officeDocument/2006/relationships/worksheet" Target="/xl/worksheets/sheet2.xml" Id="R0904bc4495f04f01" /><Relationship Type="http://schemas.openxmlformats.org/officeDocument/2006/relationships/worksheet" Target="/xl/worksheets/sheet3.xml" Id="R159e1436f45444a6" /><Relationship Type="http://schemas.openxmlformats.org/officeDocument/2006/relationships/worksheet" Target="/xl/worksheets/sheet4.xml" Id="Ree32bf6988624b69" /><Relationship Type="http://schemas.openxmlformats.org/officeDocument/2006/relationships/worksheet" Target="/xl/worksheets/sheet5.xml" Id="R6086130b49ec487b" /><Relationship Type="http://schemas.openxmlformats.org/officeDocument/2006/relationships/worksheet" Target="/xl/worksheets/sheet6.xml" Id="R01283a0e88ae40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bb84e195ce47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Resumo de contatos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Fórmula/valor</c:v>
          </c:tx>
          <c:cat>
            <c:strRef>
              <c:f>'Painel'!$A$4:$A$9</c:f>
              <c:strCache>
                <c:ptCount val="0"/>
              </c:strCache>
            </c:strRef>
          </c:cat>
          <c:val>
            <c:numRef>
              <c:f>'Painel'!$B$4:$B$9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bb84e195ce47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atosImportarV9" displayName="ContatosImportarV9" ref="A1:Q501" headerRowCount="1">
  <x:tableColumns count="17">
    <x:tableColumn id="1" name="identificador"/>
    <x:tableColumn id="2" name="nome_codigo"/>
    <x:tableColumn id="3" name="caso_origem"/>
    <x:tableColumn id="4" name="data_ultimo_contato"/>
    <x:tableColumn id="5" name="tipo_contato"/>
    <x:tableColumn id="6" name="municipio"/>
    <x:tableColumn id="7" name="risco"/>
    <x:tableColumn id="8" name="evolucao"/>
    <x:tableColumn id="9" name="data_inicio_sintomas"/>
    <x:tableColumn id="10" name="data_fim_transmissibilidade"/>
    <x:tableColumn id="11" name="data_ultima_avaliacao"/>
    <x:tableColumn id="12" name="observacao"/>
    <x:tableColumn id="13" name="monitorar_ate_21d"/>
    <x:tableColumn id="14" name="dias_restantes"/>
    <x:tableColumn id="15" name="situacao_prazo"/>
    <x:tableColumn id="16" name="tipo_exposicao_operacional"/>
    <x:tableColumn id="17" name="pos_obito_suges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50f211443884d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9eb2394651b49f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2" t="str">
        <x:v>PLANILHA MODELO — CONTATOS E INVESTIGAÇÃO EBOLA V9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3">
      <x:c r="A3" s="13" t="str">
        <x:v>Finalidade</x:v>
      </x:c>
      <x:c r="B3" s="16" t="str">
        <x:v>Modelo atualizado para a Calculadora Ebola V9, incluindo contatos em vida, contatos pós-óbito e campos de apoio ao caso índice.</x:v>
      </x:c>
    </x:row>
    <x:row r="4">
      <x:c r="A4" s="13" t="str">
        <x:v>Aba Contatos_Importar</x:v>
      </x:c>
      <x:c r="B4" s="16" t="str">
        <x:v>É a aba principal para importar contatos no sistema. As 12 primeiras colunas seguem o padrão aceito pelo app.py.</x:v>
      </x:c>
    </x:row>
    <x:row r="5">
      <x:c r="A5" s="13" t="str">
        <x:v>Novidade V9</x:v>
      </x:c>
      <x:c r="B5" s="16" t="str">
        <x:v>Inclui tipos de exposição pós-óbito: manipulação do corpo, transporte, velório/funeral, sepultamento e limpeza/desinfecção.</x:v>
      </x:c>
    </x:row>
    <x:row r="6">
      <x:c r="A6" s="13" t="str">
        <x:v>Identificação</x:v>
      </x:c>
      <x:c r="B6" s="16" t="str">
        <x:v>Preferir código/identificador interno. Evitar CPF, nome completo e outros dados pessoais sensíveis.</x:v>
      </x:c>
    </x:row>
    <x:row r="7">
      <x:c r="A7" s="13" t="str">
        <x:v>Datas</x:v>
      </x:c>
      <x:c r="B7" s="16" t="str">
        <x:v>Usar formato DD/MM/AAAA.</x:v>
      </x:c>
    </x:row>
    <x:row r="8">
      <x:c r="A8" s="13" t="str">
        <x:v>Óbito</x:v>
      </x:c>
      <x:c r="B8" s="16" t="str">
        <x:v>Quando o caso evoluir a óbito, registrar contatos pós-óbito e usar a data de sepultamento seguro/fim da exposição pós-óbito como marco operacional.</x:v>
      </x:c>
    </x:row>
    <x:row r="9">
      <x:c r="A9" s="13" t="str">
        <x:v>Importante</x:v>
      </x:c>
      <x:c r="B9" s="16" t="str">
        <x:v>Esta planilha é apoio técnico e não substitui notificação, investigação oficial, protocolos ou sistema de vigilância.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  <x:col min="3" max="3" width="75" hidden="0" customWidth="1"/>
  </x:cols>
  <x:sheetData>
    <x:row r="1">
      <x:c r="A1" s="32" t="str">
        <x:v>CASO ÍNDICE — CAMPOS DE APOIO V9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3">
      <x:c r="A3" s="18" t="str">
        <x:v>Campo</x:v>
      </x:c>
      <x:c r="B3" s="18" t="str">
        <x:v>Valor</x:v>
      </x:c>
      <x:c r="C3" s="18" t="str">
        <x:v>Orientação</x:v>
      </x:c>
    </x:row>
    <x:row r="4">
      <x:c r="A4" s="20" t="str">
        <x:v>Data da última exposição</x:v>
      </x:c>
      <x:c r="B4" s="22" t="str"/>
      <x:c r="C4" s="16" t="str">
        <x:v>Data conhecida/estimada de última exposição de risco.</x:v>
      </x:c>
    </x:row>
    <x:row r="5">
      <x:c r="A5" s="20" t="str">
        <x:v>Data da detecção/avaliação</x:v>
      </x:c>
      <x:c r="B5" s="22" t="str"/>
      <x:c r="C5" s="16" t="str">
        <x:v>Data em que o caso foi detectado/avaliado.</x:v>
      </x:c>
    </x:row>
    <x:row r="6">
      <x:c r="A6" s="20" t="str">
        <x:v>Condição clínica observada na detecção</x:v>
      </x:c>
      <x:c r="B6" s="22" t="str"/>
      <x:c r="C6" s="16" t="str">
        <x:v>Escolher na lista.</x:v>
      </x:c>
    </x:row>
    <x:row r="7">
      <x:c r="A7" s="20" t="str">
        <x:v>Situação/desfecho do caso</x:v>
      </x:c>
      <x:c r="B7" s="22" t="str"/>
      <x:c r="C7" s="16" t="str">
        <x:v>Vivo/em acompanhamento, óbito ou ignorado.</x:v>
      </x:c>
    </x:row>
    <x:row r="8">
      <x:c r="A8" s="20" t="str">
        <x:v>Data do óbito</x:v>
      </x:c>
      <x:c r="B8" s="22" t="str"/>
      <x:c r="C8" s="16" t="str">
        <x:v>Preencher se situação/desfecho for óbito.</x:v>
      </x:c>
    </x:row>
    <x:row r="9">
      <x:c r="A9" s="20" t="str">
        <x:v>Óbito ocorreu após sintomas?</x:v>
      </x:c>
      <x:c r="B9" s="22" t="str"/>
      <x:c r="C9" s="16" t="str">
        <x:v>Sim, Não ou Desconhecido.</x:v>
      </x:c>
    </x:row>
    <x:row r="10">
      <x:c r="A10" s="20" t="str">
        <x:v>Manipulação do corpo</x:v>
      </x:c>
      <x:c r="B10" s="22" t="str"/>
      <x:c r="C10" s="16" t="str">
        <x:v>Sim, Não ou Desconhecido.</x:v>
      </x:c>
    </x:row>
    <x:row r="11">
      <x:c r="A11" s="20" t="str">
        <x:v>Velório/funeral</x:v>
      </x:c>
      <x:c r="B11" s="22" t="str"/>
      <x:c r="C11" s="16" t="str">
        <x:v>Sim, Não ou Desconhecido.</x:v>
      </x:c>
    </x:row>
    <x:row r="12">
      <x:c r="A12" s="20" t="str">
        <x:v>Transporte do corpo</x:v>
      </x:c>
      <x:c r="B12" s="22" t="str"/>
      <x:c r="C12" s="16" t="str">
        <x:v>Sim, Não ou Desconhecido.</x:v>
      </x:c>
    </x:row>
    <x:row r="13">
      <x:c r="A13" s="20" t="str">
        <x:v>Contato pós-óbito identificado</x:v>
      </x:c>
      <x:c r="B13" s="22" t="str"/>
      <x:c r="C13" s="16" t="str">
        <x:v>Sim, Não ou Desconhecido.</x:v>
      </x:c>
    </x:row>
    <x:row r="14">
      <x:c r="A14" s="20" t="str">
        <x:v>Data de sepultamento seguro/fim exposição pós-óbito</x:v>
      </x:c>
      <x:c r="B14" s="22" t="str"/>
      <x:c r="C14" s="16" t="str">
        <x:v>Marco final para busca de contatos pós-óbito.</x:v>
      </x:c>
    </x:row>
    <x:row r="15">
      <x:c r="A15" s="20" t="str">
        <x:v>Data final da exposição em vida</x:v>
      </x:c>
      <x:c r="B15" s="22" t="str"/>
      <x:c r="C15" s="16" t="str">
        <x:v>Isolamento, óbito, transferência segura ou último contato em vida.</x:v>
      </x:c>
    </x:row>
    <x:row r="16">
      <x:c r="A16" s="20" t="str">
        <x:v>Data de início dos sintomas conhecida?</x:v>
      </x:c>
      <x:c r="B16" s="22" t="str"/>
      <x:c r="C16" s="16" t="str">
        <x:v>Sim/Não/Desconhecido.</x:v>
      </x:c>
    </x:row>
    <x:row r="17">
      <x:c r="A17" s="20" t="str">
        <x:v>Data real/estimada de início dos sintomas</x:v>
      </x:c>
      <x:c r="B17" s="22" t="str"/>
      <x:c r="C17" s="16" t="str">
        <x:v>Usar quando conhecida ou estimada pela investigação.</x:v>
      </x:c>
    </x:row>
    <x:row r="18">
      <x:c r="A18" s="20" t="str">
        <x:v>Tipo da data de sintomas</x:v>
      </x:c>
      <x:c r="B18" s="22" t="str"/>
      <x:c r="C18" s="16" t="str">
        <x:v>Real, estimada, aproximada ou retrospectiva.</x:v>
      </x:c>
    </x:row>
  </x:sheetData>
  <x:mergeCells>
    <x:mergeCell ref="A1:F1"/>
  </x:mergeCells>
  <x:dataValidations count="5">
    <x:dataValidation type="list" sqref="B6">
      <x:formula1>Opcoes!$G$2:$G$7</x:formula1>
    </x:dataValidation>
    <x:dataValidation type="list" sqref="B7">
      <x:formula1>Opcoes!$E$2:$E$4</x:formula1>
    </x:dataValidation>
    <x:dataValidation type="list" sqref="B9:B13">
      <x:formula1>Opcoes!$D$2:$D$4</x:formula1>
    </x:dataValidation>
    <x:dataValidation type="list" sqref="B16">
      <x:formula1>Opcoes!$D$2:$D$4</x:formula1>
    </x:dataValidation>
    <x:dataValidation type="list" sqref="B18">
      <x:formula1>Opcoes!$H$2:$H$6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8" hidden="0" customWidth="1"/>
    <x:col min="5" max="5" width="24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22" hidden="0" customWidth="1"/>
    <x:col min="11" max="11" width="18" hidden="0" customWidth="1"/>
    <x:col min="12" max="12" width="35" hidden="0" customWidth="1"/>
    <x:col min="13" max="13" width="18" hidden="0" customWidth="1"/>
    <x:col min="14" max="14" width="14" hidden="0" customWidth="1"/>
    <x:col min="15" max="15" width="24" hidden="0" customWidth="1"/>
    <x:col min="16" max="16" width="26" hidden="0" customWidth="1"/>
    <x:col min="17" max="17" width="18" hidden="0" customWidth="1"/>
  </x:cols>
  <x:sheetData>
    <x:row r="1">
      <x:c r="A1" s="36" t="str">
        <x:v>identificador</x:v>
      </x:c>
      <x:c r="B1" s="36" t="str">
        <x:v>nome_codigo</x:v>
      </x:c>
      <x:c r="C1" s="36" t="str">
        <x:v>caso_origem</x:v>
      </x:c>
      <x:c r="D1" s="36" t="str">
        <x:v>data_ultimo_contato</x:v>
      </x:c>
      <x:c r="E1" s="36" t="str">
        <x:v>tipo_contato</x:v>
      </x:c>
      <x:c r="F1" s="36" t="str">
        <x:v>municipio</x:v>
      </x:c>
      <x:c r="G1" s="36" t="str">
        <x:v>risco</x:v>
      </x:c>
      <x:c r="H1" s="36" t="str">
        <x:v>evolucao</x:v>
      </x:c>
      <x:c r="I1" s="36" t="str">
        <x:v>data_inicio_sintomas</x:v>
      </x:c>
      <x:c r="J1" s="36" t="str">
        <x:v>data_fim_transmissibilidade</x:v>
      </x:c>
      <x:c r="K1" s="36" t="str">
        <x:v>data_ultima_avaliacao</x:v>
      </x:c>
      <x:c r="L1" s="36" t="str">
        <x:v>observacao</x:v>
      </x:c>
      <x:c r="M1" s="36" t="str">
        <x:v>monitorar_ate_21d</x:v>
      </x:c>
      <x:c r="N1" s="36" t="str">
        <x:v>dias_restantes</x:v>
      </x:c>
      <x:c r="O1" s="36" t="str">
        <x:v>situacao_prazo</x:v>
      </x:c>
      <x:c r="P1" s="36" t="str">
        <x:v>tipo_exposicao_operacional</x:v>
      </x:c>
      <x:c r="Q1" s="36" t="str">
        <x:v>pos_obito_sugestivo</x:v>
      </x:c>
    </x:row>
    <x:row r="2">
      <x:c r="A2" s="16" t="str"/>
      <x:c r="B2" s="16" t="str"/>
      <x:c r="C2" s="16" t="str"/>
      <x:c r="D2" s="28" t="str"/>
      <x:c r="E2" s="16" t="str"/>
      <x:c r="F2" s="16" t="str"/>
      <x:c r="G2" s="16" t="str"/>
      <x:c r="H2" s="16" t="str"/>
      <x:c r="I2" s="28" t="str"/>
      <x:c r="J2" s="28" t="str"/>
      <x:c r="K2" s="28" t="str"/>
      <x:c r="L2" s="16" t="str"/>
      <x:c r="M2" s="28" t="str">
        <x:f>IF(D2="","",D2+21)</x:f>
      </x:c>
      <x:c r="N2" s="16" t="str">
        <x:f>IF(M2="","",M2-TODAY())</x:f>
      </x:c>
      <x:c r="O2" s="16" t="str">
        <x:f>IF(A2="","",IF(OR(H2="Encerrado",H2="Descartado"),"Encerrado",IF(OR(H2="Sintomático",H2="Suspeito",H2="Confirmado",H2="Óbito"),"Requer avaliação/ação",IF(N2&lt;0,"Prazo concluído","Em monitoramento"))))</x:f>
      </x:c>
      <x:c r="P2" s="16" t="str">
        <x:f>IF(A2="","",IF(OR(E2="Manipulação do corpo",E2="Velório/funeral",E2="Sepultamento",E2="Limpeza/desinfecção"),"Pós-óbito",IF(OR(E2="Transporte do paciente",E2="Cuidado direto",E2="Contato com fluidos",E2="Serviço de saúde",E2="Laboratório"),"Exposição direta/assistencial","Exposição comunitária/outro")))</x:f>
      </x:c>
      <x:c r="Q2" s="16" t="str">
        <x:f>IF(A2="","",IF(P2="Pós-óbito","Sim","Não"))</x:f>
      </x:c>
    </x:row>
    <x:row r="3">
      <x:c r="A3" s="16" t="str"/>
      <x:c r="B3" s="16" t="str"/>
      <x:c r="C3" s="16" t="str"/>
      <x:c r="D3" s="28" t="str"/>
      <x:c r="E3" s="16" t="str"/>
      <x:c r="F3" s="16" t="str"/>
      <x:c r="G3" s="16" t="str"/>
      <x:c r="H3" s="16" t="str"/>
      <x:c r="I3" s="28" t="str"/>
      <x:c r="J3" s="28" t="str"/>
      <x:c r="K3" s="28" t="str"/>
      <x:c r="L3" s="16" t="str"/>
      <x:c r="M3" s="28" t="str">
        <x:f>IF(D3="","",D3+21)</x:f>
      </x:c>
      <x:c r="N3" s="16" t="str">
        <x:f>IF(M3="","",M3-TODAY())</x:f>
      </x:c>
      <x:c r="O3" s="16" t="str">
        <x:f>IF(A3="","",IF(OR(H3="Encerrado",H3="Descartado"),"Encerrado",IF(OR(H3="Sintomático",H3="Suspeito",H3="Confirmado",H3="Óbito"),"Requer avaliação/ação",IF(N3&lt;0,"Prazo concluído","Em monitoramento"))))</x:f>
      </x:c>
      <x:c r="P3" s="16" t="str">
        <x:f>IF(A3="","",IF(OR(E3="Manipulação do corpo",E3="Velório/funeral",E3="Sepultamento",E3="Limpeza/desinfecção"),"Pós-óbito",IF(OR(E3="Transporte do paciente",E3="Cuidado direto",E3="Contato com fluidos",E3="Serviço de saúde",E3="Laboratório"),"Exposição direta/assistencial","Exposição comunitária/outro")))</x:f>
      </x:c>
      <x:c r="Q3" s="16" t="str">
        <x:f>IF(A3="","",IF(P3="Pós-óbito","Sim","Não"))</x:f>
      </x:c>
    </x:row>
    <x:row r="4">
      <x:c r="A4" s="16" t="str"/>
      <x:c r="B4" s="16" t="str"/>
      <x:c r="C4" s="16" t="str"/>
      <x:c r="D4" s="28" t="str"/>
      <x:c r="E4" s="16" t="str"/>
      <x:c r="F4" s="16" t="str"/>
      <x:c r="G4" s="16" t="str"/>
      <x:c r="H4" s="16" t="str"/>
      <x:c r="I4" s="28" t="str"/>
      <x:c r="J4" s="28" t="str"/>
      <x:c r="K4" s="28" t="str"/>
      <x:c r="L4" s="16" t="str"/>
      <x:c r="M4" s="28" t="str">
        <x:f>IF(D4="","",D4+21)</x:f>
      </x:c>
      <x:c r="N4" s="16" t="str">
        <x:f>IF(M4="","",M4-TODAY())</x:f>
      </x:c>
      <x:c r="O4" s="16" t="str">
        <x:f>IF(A4="","",IF(OR(H4="Encerrado",H4="Descartado"),"Encerrado",IF(OR(H4="Sintomático",H4="Suspeito",H4="Confirmado",H4="Óbito"),"Requer avaliação/ação",IF(N4&lt;0,"Prazo concluído","Em monitoramento"))))</x:f>
      </x:c>
      <x:c r="P4" s="16" t="str">
        <x:f>IF(A4="","",IF(OR(E4="Manipulação do corpo",E4="Velório/funeral",E4="Sepultamento",E4="Limpeza/desinfecção"),"Pós-óbito",IF(OR(E4="Transporte do paciente",E4="Cuidado direto",E4="Contato com fluidos",E4="Serviço de saúde",E4="Laboratório"),"Exposição direta/assistencial","Exposição comunitária/outro")))</x:f>
      </x:c>
      <x:c r="Q4" s="16" t="str">
        <x:f>IF(A4="","",IF(P4="Pós-óbito","Sim","Não"))</x:f>
      </x:c>
    </x:row>
    <x:row r="5">
      <x:c r="A5" s="16" t="str"/>
      <x:c r="B5" s="16" t="str"/>
      <x:c r="C5" s="16" t="str"/>
      <x:c r="D5" s="28" t="str"/>
      <x:c r="E5" s="16" t="str"/>
      <x:c r="F5" s="16" t="str"/>
      <x:c r="G5" s="16" t="str"/>
      <x:c r="H5" s="16" t="str"/>
      <x:c r="I5" s="28" t="str"/>
      <x:c r="J5" s="28" t="str"/>
      <x:c r="K5" s="28" t="str"/>
      <x:c r="L5" s="16" t="str"/>
      <x:c r="M5" s="28" t="str">
        <x:f>IF(D5="","",D5+21)</x:f>
      </x:c>
      <x:c r="N5" s="16" t="str">
        <x:f>IF(M5="","",M5-TODAY())</x:f>
      </x:c>
      <x:c r="O5" s="16" t="str">
        <x:f>IF(A5="","",IF(OR(H5="Encerrado",H5="Descartado"),"Encerrado",IF(OR(H5="Sintomático",H5="Suspeito",H5="Confirmado",H5="Óbito"),"Requer avaliação/ação",IF(N5&lt;0,"Prazo concluído","Em monitoramento"))))</x:f>
      </x:c>
      <x:c r="P5" s="16" t="str">
        <x:f>IF(A5="","",IF(OR(E5="Manipulação do corpo",E5="Velório/funeral",E5="Sepultamento",E5="Limpeza/desinfecção"),"Pós-óbito",IF(OR(E5="Transporte do paciente",E5="Cuidado direto",E5="Contato com fluidos",E5="Serviço de saúde",E5="Laboratório"),"Exposição direta/assistencial","Exposição comunitária/outro")))</x:f>
      </x:c>
      <x:c r="Q5" s="16" t="str">
        <x:f>IF(A5="","",IF(P5="Pós-óbito","Sim","Não"))</x:f>
      </x:c>
    </x:row>
    <x:row r="6">
      <x:c r="A6" s="16" t="str"/>
      <x:c r="B6" s="16" t="str"/>
      <x:c r="C6" s="16" t="str"/>
      <x:c r="D6" s="28" t="str"/>
      <x:c r="E6" s="16" t="str"/>
      <x:c r="F6" s="16" t="str"/>
      <x:c r="G6" s="16" t="str"/>
      <x:c r="H6" s="16" t="str"/>
      <x:c r="I6" s="28" t="str"/>
      <x:c r="J6" s="28" t="str"/>
      <x:c r="K6" s="28" t="str"/>
      <x:c r="L6" s="16" t="str"/>
      <x:c r="M6" s="28" t="str">
        <x:f>IF(D6="","",D6+21)</x:f>
      </x:c>
      <x:c r="N6" s="16" t="str">
        <x:f>IF(M6="","",M6-TODAY())</x:f>
      </x:c>
      <x:c r="O6" s="16" t="str">
        <x:f>IF(A6="","",IF(OR(H6="Encerrado",H6="Descartado"),"Encerrado",IF(OR(H6="Sintomático",H6="Suspeito",H6="Confirmado",H6="Óbito"),"Requer avaliação/ação",IF(N6&lt;0,"Prazo concluído","Em monitoramento"))))</x:f>
      </x:c>
      <x:c r="P6" s="16" t="str">
        <x:f>IF(A6="","",IF(OR(E6="Manipulação do corpo",E6="Velório/funeral",E6="Sepultamento",E6="Limpeza/desinfecção"),"Pós-óbito",IF(OR(E6="Transporte do paciente",E6="Cuidado direto",E6="Contato com fluidos",E6="Serviço de saúde",E6="Laboratório"),"Exposição direta/assistencial","Exposição comunitária/outro")))</x:f>
      </x:c>
      <x:c r="Q6" s="16" t="str">
        <x:f>IF(A6="","",IF(P6="Pós-óbito","Sim","Não"))</x:f>
      </x:c>
    </x:row>
    <x:row r="7">
      <x:c r="A7" s="16" t="str"/>
      <x:c r="B7" s="16" t="str"/>
      <x:c r="C7" s="16" t="str"/>
      <x:c r="D7" s="28" t="str"/>
      <x:c r="E7" s="16" t="str"/>
      <x:c r="F7" s="16" t="str"/>
      <x:c r="G7" s="16" t="str"/>
      <x:c r="H7" s="16" t="str"/>
      <x:c r="I7" s="28" t="str"/>
      <x:c r="J7" s="28" t="str"/>
      <x:c r="K7" s="28" t="str"/>
      <x:c r="L7" s="16" t="str"/>
      <x:c r="M7" s="28" t="str">
        <x:f>IF(D7="","",D7+21)</x:f>
      </x:c>
      <x:c r="N7" s="16" t="str">
        <x:f>IF(M7="","",M7-TODAY())</x:f>
      </x:c>
      <x:c r="O7" s="16" t="str">
        <x:f>IF(A7="","",IF(OR(H7="Encerrado",H7="Descartado"),"Encerrado",IF(OR(H7="Sintomático",H7="Suspeito",H7="Confirmado",H7="Óbito"),"Requer avaliação/ação",IF(N7&lt;0,"Prazo concluído","Em monitoramento"))))</x:f>
      </x:c>
      <x:c r="P7" s="16" t="str">
        <x:f>IF(A7="","",IF(OR(E7="Manipulação do corpo",E7="Velório/funeral",E7="Sepultamento",E7="Limpeza/desinfecção"),"Pós-óbito",IF(OR(E7="Transporte do paciente",E7="Cuidado direto",E7="Contato com fluidos",E7="Serviço de saúde",E7="Laboratório"),"Exposição direta/assistencial","Exposição comunitária/outro")))</x:f>
      </x:c>
      <x:c r="Q7" s="16" t="str">
        <x:f>IF(A7="","",IF(P7="Pós-óbito","Sim","Não"))</x:f>
      </x:c>
    </x:row>
    <x:row r="8">
      <x:c r="A8" s="16" t="str"/>
      <x:c r="B8" s="16" t="str"/>
      <x:c r="C8" s="16" t="str"/>
      <x:c r="D8" s="28" t="str"/>
      <x:c r="E8" s="16" t="str"/>
      <x:c r="F8" s="16" t="str"/>
      <x:c r="G8" s="16" t="str"/>
      <x:c r="H8" s="16" t="str"/>
      <x:c r="I8" s="28" t="str"/>
      <x:c r="J8" s="28" t="str"/>
      <x:c r="K8" s="28" t="str"/>
      <x:c r="L8" s="16" t="str"/>
      <x:c r="M8" s="28" t="str">
        <x:f>IF(D8="","",D8+21)</x:f>
      </x:c>
      <x:c r="N8" s="16" t="str">
        <x:f>IF(M8="","",M8-TODAY())</x:f>
      </x:c>
      <x:c r="O8" s="16" t="str">
        <x:f>IF(A8="","",IF(OR(H8="Encerrado",H8="Descartado"),"Encerrado",IF(OR(H8="Sintomático",H8="Suspeito",H8="Confirmado",H8="Óbito"),"Requer avaliação/ação",IF(N8&lt;0,"Prazo concluído","Em monitoramento"))))</x:f>
      </x:c>
      <x:c r="P8" s="16" t="str">
        <x:f>IF(A8="","",IF(OR(E8="Manipulação do corpo",E8="Velório/funeral",E8="Sepultamento",E8="Limpeza/desinfecção"),"Pós-óbito",IF(OR(E8="Transporte do paciente",E8="Cuidado direto",E8="Contato com fluidos",E8="Serviço de saúde",E8="Laboratório"),"Exposição direta/assistencial","Exposição comunitária/outro")))</x:f>
      </x:c>
      <x:c r="Q8" s="16" t="str">
        <x:f>IF(A8="","",IF(P8="Pós-óbito","Sim","Não"))</x:f>
      </x:c>
    </x:row>
    <x:row r="9">
      <x:c r="A9" s="16" t="str"/>
      <x:c r="B9" s="16" t="str"/>
      <x:c r="C9" s="16" t="str"/>
      <x:c r="D9" s="28" t="str"/>
      <x:c r="E9" s="16" t="str"/>
      <x:c r="F9" s="16" t="str"/>
      <x:c r="G9" s="16" t="str"/>
      <x:c r="H9" s="16" t="str"/>
      <x:c r="I9" s="28" t="str"/>
      <x:c r="J9" s="28" t="str"/>
      <x:c r="K9" s="28" t="str"/>
      <x:c r="L9" s="16" t="str"/>
      <x:c r="M9" s="28" t="str">
        <x:f>IF(D9="","",D9+21)</x:f>
      </x:c>
      <x:c r="N9" s="16" t="str">
        <x:f>IF(M9="","",M9-TODAY())</x:f>
      </x:c>
      <x:c r="O9" s="16" t="str">
        <x:f>IF(A9="","",IF(OR(H9="Encerrado",H9="Descartado"),"Encerrado",IF(OR(H9="Sintomático",H9="Suspeito",H9="Confirmado",H9="Óbito"),"Requer avaliação/ação",IF(N9&lt;0,"Prazo concluído","Em monitoramento"))))</x:f>
      </x:c>
      <x:c r="P9" s="16" t="str">
        <x:f>IF(A9="","",IF(OR(E9="Manipulação do corpo",E9="Velório/funeral",E9="Sepultamento",E9="Limpeza/desinfecção"),"Pós-óbito",IF(OR(E9="Transporte do paciente",E9="Cuidado direto",E9="Contato com fluidos",E9="Serviço de saúde",E9="Laboratório"),"Exposição direta/assistencial","Exposição comunitária/outro")))</x:f>
      </x:c>
      <x:c r="Q9" s="16" t="str">
        <x:f>IF(A9="","",IF(P9="Pós-óbito","Sim","Não"))</x:f>
      </x:c>
    </x:row>
    <x:row r="10">
      <x:c r="A10" s="16" t="str"/>
      <x:c r="B10" s="16" t="str"/>
      <x:c r="C10" s="16" t="str"/>
      <x:c r="D10" s="28" t="str"/>
      <x:c r="E10" s="16" t="str"/>
      <x:c r="F10" s="16" t="str"/>
      <x:c r="G10" s="16" t="str"/>
      <x:c r="H10" s="16" t="str"/>
      <x:c r="I10" s="28" t="str"/>
      <x:c r="J10" s="28" t="str"/>
      <x:c r="K10" s="28" t="str"/>
      <x:c r="L10" s="16" t="str"/>
      <x:c r="M10" s="28" t="str">
        <x:f>IF(D10="","",D10+21)</x:f>
      </x:c>
      <x:c r="N10" s="16" t="str">
        <x:f>IF(M10="","",M10-TODAY())</x:f>
      </x:c>
      <x:c r="O10" s="16" t="str">
        <x:f>IF(A10="","",IF(OR(H10="Encerrado",H10="Descartado"),"Encerrado",IF(OR(H10="Sintomático",H10="Suspeito",H10="Confirmado",H10="Óbito"),"Requer avaliação/ação",IF(N10&lt;0,"Prazo concluído","Em monitoramento"))))</x:f>
      </x:c>
      <x:c r="P10" s="16" t="str">
        <x:f>IF(A10="","",IF(OR(E10="Manipulação do corpo",E10="Velório/funeral",E10="Sepultamento",E10="Limpeza/desinfecção"),"Pós-óbito",IF(OR(E10="Transporte do paciente",E10="Cuidado direto",E10="Contato com fluidos",E10="Serviço de saúde",E10="Laboratório"),"Exposição direta/assistencial","Exposição comunitária/outro")))</x:f>
      </x:c>
      <x:c r="Q10" s="16" t="str">
        <x:f>IF(A10="","",IF(P10="Pós-óbito","Sim","Não"))</x:f>
      </x:c>
    </x:row>
    <x:row r="11">
      <x:c r="A11" s="16" t="str"/>
      <x:c r="B11" s="16" t="str"/>
      <x:c r="C11" s="16" t="str"/>
      <x:c r="D11" s="28" t="str"/>
      <x:c r="E11" s="16" t="str"/>
      <x:c r="F11" s="16" t="str"/>
      <x:c r="G11" s="16" t="str"/>
      <x:c r="H11" s="16" t="str"/>
      <x:c r="I11" s="28" t="str"/>
      <x:c r="J11" s="28" t="str"/>
      <x:c r="K11" s="28" t="str"/>
      <x:c r="L11" s="16" t="str"/>
      <x:c r="M11" s="28" t="str">
        <x:f>IF(D11="","",D11+21)</x:f>
      </x:c>
      <x:c r="N11" s="16" t="str">
        <x:f>IF(M11="","",M11-TODAY())</x:f>
      </x:c>
      <x:c r="O11" s="16" t="str">
        <x:f>IF(A11="","",IF(OR(H11="Encerrado",H11="Descartado"),"Encerrado",IF(OR(H11="Sintomático",H11="Suspeito",H11="Confirmado",H11="Óbito"),"Requer avaliação/ação",IF(N11&lt;0,"Prazo concluído","Em monitoramento"))))</x:f>
      </x:c>
      <x:c r="P11" s="16" t="str">
        <x:f>IF(A11="","",IF(OR(E11="Manipulação do corpo",E11="Velório/funeral",E11="Sepultamento",E11="Limpeza/desinfecção"),"Pós-óbito",IF(OR(E11="Transporte do paciente",E11="Cuidado direto",E11="Contato com fluidos",E11="Serviço de saúde",E11="Laboratório"),"Exposição direta/assistencial","Exposição comunitária/outro")))</x:f>
      </x:c>
      <x:c r="Q11" s="16" t="str">
        <x:f>IF(A11="","",IF(P11="Pós-óbito","Sim","Não"))</x:f>
      </x:c>
    </x:row>
    <x:row r="12">
      <x:c r="A12" s="16" t="str"/>
      <x:c r="B12" s="16" t="str"/>
      <x:c r="C12" s="16" t="str"/>
      <x:c r="D12" s="28" t="str"/>
      <x:c r="E12" s="16" t="str"/>
      <x:c r="F12" s="16" t="str"/>
      <x:c r="G12" s="16" t="str"/>
      <x:c r="H12" s="16" t="str"/>
      <x:c r="I12" s="28" t="str"/>
      <x:c r="J12" s="28" t="str"/>
      <x:c r="K12" s="28" t="str"/>
      <x:c r="L12" s="16" t="str"/>
      <x:c r="M12" s="28" t="str">
        <x:f>IF(D12="","",D12+21)</x:f>
      </x:c>
      <x:c r="N12" s="16" t="str">
        <x:f>IF(M12="","",M12-TODAY())</x:f>
      </x:c>
      <x:c r="O12" s="16" t="str">
        <x:f>IF(A12="","",IF(OR(H12="Encerrado",H12="Descartado"),"Encerrado",IF(OR(H12="Sintomático",H12="Suspeito",H12="Confirmado",H12="Óbito"),"Requer avaliação/ação",IF(N12&lt;0,"Prazo concluído","Em monitoramento"))))</x:f>
      </x:c>
      <x:c r="P12" s="16" t="str">
        <x:f>IF(A12="","",IF(OR(E12="Manipulação do corpo",E12="Velório/funeral",E12="Sepultamento",E12="Limpeza/desinfecção"),"Pós-óbito",IF(OR(E12="Transporte do paciente",E12="Cuidado direto",E12="Contato com fluidos",E12="Serviço de saúde",E12="Laboratório"),"Exposição direta/assistencial","Exposição comunitária/outro")))</x:f>
      </x:c>
      <x:c r="Q12" s="16" t="str">
        <x:f>IF(A12="","",IF(P12="Pós-óbito","Sim","Não"))</x:f>
      </x:c>
    </x:row>
    <x:row r="13">
      <x:c r="A13" s="16" t="str"/>
      <x:c r="B13" s="16" t="str"/>
      <x:c r="C13" s="16" t="str"/>
      <x:c r="D13" s="28" t="str"/>
      <x:c r="E13" s="16" t="str"/>
      <x:c r="F13" s="16" t="str"/>
      <x:c r="G13" s="16" t="str"/>
      <x:c r="H13" s="16" t="str"/>
      <x:c r="I13" s="28" t="str"/>
      <x:c r="J13" s="28" t="str"/>
      <x:c r="K13" s="28" t="str"/>
      <x:c r="L13" s="16" t="str"/>
      <x:c r="M13" s="28" t="str">
        <x:f>IF(D13="","",D13+21)</x:f>
      </x:c>
      <x:c r="N13" s="16" t="str">
        <x:f>IF(M13="","",M13-TODAY())</x:f>
      </x:c>
      <x:c r="O13" s="16" t="str">
        <x:f>IF(A13="","",IF(OR(H13="Encerrado",H13="Descartado"),"Encerrado",IF(OR(H13="Sintomático",H13="Suspeito",H13="Confirmado",H13="Óbito"),"Requer avaliação/ação",IF(N13&lt;0,"Prazo concluído","Em monitoramento"))))</x:f>
      </x:c>
      <x:c r="P13" s="16" t="str">
        <x:f>IF(A13="","",IF(OR(E13="Manipulação do corpo",E13="Velório/funeral",E13="Sepultamento",E13="Limpeza/desinfecção"),"Pós-óbito",IF(OR(E13="Transporte do paciente",E13="Cuidado direto",E13="Contato com fluidos",E13="Serviço de saúde",E13="Laboratório"),"Exposição direta/assistencial","Exposição comunitária/outro")))</x:f>
      </x:c>
      <x:c r="Q13" s="16" t="str">
        <x:f>IF(A13="","",IF(P13="Pós-óbito","Sim","Não"))</x:f>
      </x:c>
    </x:row>
    <x:row r="14">
      <x:c r="A14" s="16" t="str"/>
      <x:c r="B14" s="16" t="str"/>
      <x:c r="C14" s="16" t="str"/>
      <x:c r="D14" s="28" t="str"/>
      <x:c r="E14" s="16" t="str"/>
      <x:c r="F14" s="16" t="str"/>
      <x:c r="G14" s="16" t="str"/>
      <x:c r="H14" s="16" t="str"/>
      <x:c r="I14" s="28" t="str"/>
      <x:c r="J14" s="28" t="str"/>
      <x:c r="K14" s="28" t="str"/>
      <x:c r="L14" s="16" t="str"/>
      <x:c r="M14" s="28" t="str">
        <x:f>IF(D14="","",D14+21)</x:f>
      </x:c>
      <x:c r="N14" s="16" t="str">
        <x:f>IF(M14="","",M14-TODAY())</x:f>
      </x:c>
      <x:c r="O14" s="16" t="str">
        <x:f>IF(A14="","",IF(OR(H14="Encerrado",H14="Descartado"),"Encerrado",IF(OR(H14="Sintomático",H14="Suspeito",H14="Confirmado",H14="Óbito"),"Requer avaliação/ação",IF(N14&lt;0,"Prazo concluído","Em monitoramento"))))</x:f>
      </x:c>
      <x:c r="P14" s="16" t="str">
        <x:f>IF(A14="","",IF(OR(E14="Manipulação do corpo",E14="Velório/funeral",E14="Sepultamento",E14="Limpeza/desinfecção"),"Pós-óbito",IF(OR(E14="Transporte do paciente",E14="Cuidado direto",E14="Contato com fluidos",E14="Serviço de saúde",E14="Laboratório"),"Exposição direta/assistencial","Exposição comunitária/outro")))</x:f>
      </x:c>
      <x:c r="Q14" s="16" t="str">
        <x:f>IF(A14="","",IF(P14="Pós-óbito","Sim","Não"))</x:f>
      </x:c>
    </x:row>
    <x:row r="15">
      <x:c r="A15" s="16" t="str"/>
      <x:c r="B15" s="16" t="str"/>
      <x:c r="C15" s="16" t="str"/>
      <x:c r="D15" s="28" t="str"/>
      <x:c r="E15" s="16" t="str"/>
      <x:c r="F15" s="16" t="str"/>
      <x:c r="G15" s="16" t="str"/>
      <x:c r="H15" s="16" t="str"/>
      <x:c r="I15" s="28" t="str"/>
      <x:c r="J15" s="28" t="str"/>
      <x:c r="K15" s="28" t="str"/>
      <x:c r="L15" s="16" t="str"/>
      <x:c r="M15" s="28" t="str">
        <x:f>IF(D15="","",D15+21)</x:f>
      </x:c>
      <x:c r="N15" s="16" t="str">
        <x:f>IF(M15="","",M15-TODAY())</x:f>
      </x:c>
      <x:c r="O15" s="16" t="str">
        <x:f>IF(A15="","",IF(OR(H15="Encerrado",H15="Descartado"),"Encerrado",IF(OR(H15="Sintomático",H15="Suspeito",H15="Confirmado",H15="Óbito"),"Requer avaliação/ação",IF(N15&lt;0,"Prazo concluído","Em monitoramento"))))</x:f>
      </x:c>
      <x:c r="P15" s="16" t="str">
        <x:f>IF(A15="","",IF(OR(E15="Manipulação do corpo",E15="Velório/funeral",E15="Sepultamento",E15="Limpeza/desinfecção"),"Pós-óbito",IF(OR(E15="Transporte do paciente",E15="Cuidado direto",E15="Contato com fluidos",E15="Serviço de saúde",E15="Laboratório"),"Exposição direta/assistencial","Exposição comunitária/outro")))</x:f>
      </x:c>
      <x:c r="Q15" s="16" t="str">
        <x:f>IF(A15="","",IF(P15="Pós-óbito","Sim","Não"))</x:f>
      </x:c>
    </x:row>
    <x:row r="16">
      <x:c r="A16" s="16" t="str"/>
      <x:c r="B16" s="16" t="str"/>
      <x:c r="C16" s="16" t="str"/>
      <x:c r="D16" s="28" t="str"/>
      <x:c r="E16" s="16" t="str"/>
      <x:c r="F16" s="16" t="str"/>
      <x:c r="G16" s="16" t="str"/>
      <x:c r="H16" s="16" t="str"/>
      <x:c r="I16" s="28" t="str"/>
      <x:c r="J16" s="28" t="str"/>
      <x:c r="K16" s="28" t="str"/>
      <x:c r="L16" s="16" t="str"/>
      <x:c r="M16" s="28" t="str">
        <x:f>IF(D16="","",D16+21)</x:f>
      </x:c>
      <x:c r="N16" s="16" t="str">
        <x:f>IF(M16="","",M16-TODAY())</x:f>
      </x:c>
      <x:c r="O16" s="16" t="str">
        <x:f>IF(A16="","",IF(OR(H16="Encerrado",H16="Descartado"),"Encerrado",IF(OR(H16="Sintomático",H16="Suspeito",H16="Confirmado",H16="Óbito"),"Requer avaliação/ação",IF(N16&lt;0,"Prazo concluído","Em monitoramento"))))</x:f>
      </x:c>
      <x:c r="P16" s="16" t="str">
        <x:f>IF(A16="","",IF(OR(E16="Manipulação do corpo",E16="Velório/funeral",E16="Sepultamento",E16="Limpeza/desinfecção"),"Pós-óbito",IF(OR(E16="Transporte do paciente",E16="Cuidado direto",E16="Contato com fluidos",E16="Serviço de saúde",E16="Laboratório"),"Exposição direta/assistencial","Exposição comunitária/outro")))</x:f>
      </x:c>
      <x:c r="Q16" s="16" t="str">
        <x:f>IF(A16="","",IF(P16="Pós-óbito","Sim","Não"))</x:f>
      </x:c>
    </x:row>
    <x:row r="17">
      <x:c r="A17" s="16" t="str"/>
      <x:c r="B17" s="16" t="str"/>
      <x:c r="C17" s="16" t="str"/>
      <x:c r="D17" s="28" t="str"/>
      <x:c r="E17" s="16" t="str"/>
      <x:c r="F17" s="16" t="str"/>
      <x:c r="G17" s="16" t="str"/>
      <x:c r="H17" s="16" t="str"/>
      <x:c r="I17" s="28" t="str"/>
      <x:c r="J17" s="28" t="str"/>
      <x:c r="K17" s="28" t="str"/>
      <x:c r="L17" s="16" t="str"/>
      <x:c r="M17" s="28" t="str">
        <x:f>IF(D17="","",D17+21)</x:f>
      </x:c>
      <x:c r="N17" s="16" t="str">
        <x:f>IF(M17="","",M17-TODAY())</x:f>
      </x:c>
      <x:c r="O17" s="16" t="str">
        <x:f>IF(A17="","",IF(OR(H17="Encerrado",H17="Descartado"),"Encerrado",IF(OR(H17="Sintomático",H17="Suspeito",H17="Confirmado",H17="Óbito"),"Requer avaliação/ação",IF(N17&lt;0,"Prazo concluído","Em monitoramento"))))</x:f>
      </x:c>
      <x:c r="P17" s="16" t="str">
        <x:f>IF(A17="","",IF(OR(E17="Manipulação do corpo",E17="Velório/funeral",E17="Sepultamento",E17="Limpeza/desinfecção"),"Pós-óbito",IF(OR(E17="Transporte do paciente",E17="Cuidado direto",E17="Contato com fluidos",E17="Serviço de saúde",E17="Laboratório"),"Exposição direta/assistencial","Exposição comunitária/outro")))</x:f>
      </x:c>
      <x:c r="Q17" s="16" t="str">
        <x:f>IF(A17="","",IF(P17="Pós-óbito","Sim","Não"))</x:f>
      </x:c>
    </x:row>
    <x:row r="18">
      <x:c r="A18" s="16" t="str"/>
      <x:c r="B18" s="16" t="str"/>
      <x:c r="C18" s="16" t="str"/>
      <x:c r="D18" s="28" t="str"/>
      <x:c r="E18" s="16" t="str"/>
      <x:c r="F18" s="16" t="str"/>
      <x:c r="G18" s="16" t="str"/>
      <x:c r="H18" s="16" t="str"/>
      <x:c r="I18" s="28" t="str"/>
      <x:c r="J18" s="28" t="str"/>
      <x:c r="K18" s="28" t="str"/>
      <x:c r="L18" s="16" t="str"/>
      <x:c r="M18" s="28" t="str">
        <x:f>IF(D18="","",D18+21)</x:f>
      </x:c>
      <x:c r="N18" s="16" t="str">
        <x:f>IF(M18="","",M18-TODAY())</x:f>
      </x:c>
      <x:c r="O18" s="16" t="str">
        <x:f>IF(A18="","",IF(OR(H18="Encerrado",H18="Descartado"),"Encerrado",IF(OR(H18="Sintomático",H18="Suspeito",H18="Confirmado",H18="Óbito"),"Requer avaliação/ação",IF(N18&lt;0,"Prazo concluído","Em monitoramento"))))</x:f>
      </x:c>
      <x:c r="P18" s="16" t="str">
        <x:f>IF(A18="","",IF(OR(E18="Manipulação do corpo",E18="Velório/funeral",E18="Sepultamento",E18="Limpeza/desinfecção"),"Pós-óbito",IF(OR(E18="Transporte do paciente",E18="Cuidado direto",E18="Contato com fluidos",E18="Serviço de saúde",E18="Laboratório"),"Exposição direta/assistencial","Exposição comunitária/outro")))</x:f>
      </x:c>
      <x:c r="Q18" s="16" t="str">
        <x:f>IF(A18="","",IF(P18="Pós-óbito","Sim","Não"))</x:f>
      </x:c>
    </x:row>
    <x:row r="19">
      <x:c r="A19" s="16" t="str"/>
      <x:c r="B19" s="16" t="str"/>
      <x:c r="C19" s="16" t="str"/>
      <x:c r="D19" s="28" t="str"/>
      <x:c r="E19" s="16" t="str"/>
      <x:c r="F19" s="16" t="str"/>
      <x:c r="G19" s="16" t="str"/>
      <x:c r="H19" s="16" t="str"/>
      <x:c r="I19" s="28" t="str"/>
      <x:c r="J19" s="28" t="str"/>
      <x:c r="K19" s="28" t="str"/>
      <x:c r="L19" s="16" t="str"/>
      <x:c r="M19" s="28" t="str">
        <x:f>IF(D19="","",D19+21)</x:f>
      </x:c>
      <x:c r="N19" s="16" t="str">
        <x:f>IF(M19="","",M19-TODAY())</x:f>
      </x:c>
      <x:c r="O19" s="16" t="str">
        <x:f>IF(A19="","",IF(OR(H19="Encerrado",H19="Descartado"),"Encerrado",IF(OR(H19="Sintomático",H19="Suspeito",H19="Confirmado",H19="Óbito"),"Requer avaliação/ação",IF(N19&lt;0,"Prazo concluído","Em monitoramento"))))</x:f>
      </x:c>
      <x:c r="P19" s="16" t="str">
        <x:f>IF(A19="","",IF(OR(E19="Manipulação do corpo",E19="Velório/funeral",E19="Sepultamento",E19="Limpeza/desinfecção"),"Pós-óbito",IF(OR(E19="Transporte do paciente",E19="Cuidado direto",E19="Contato com fluidos",E19="Serviço de saúde",E19="Laboratório"),"Exposição direta/assistencial","Exposição comunitária/outro")))</x:f>
      </x:c>
      <x:c r="Q19" s="16" t="str">
        <x:f>IF(A19="","",IF(P19="Pós-óbito","Sim","Não"))</x:f>
      </x:c>
    </x:row>
    <x:row r="20">
      <x:c r="A20" s="16" t="str"/>
      <x:c r="B20" s="16" t="str"/>
      <x:c r="C20" s="16" t="str"/>
      <x:c r="D20" s="28" t="str"/>
      <x:c r="E20" s="16" t="str"/>
      <x:c r="F20" s="16" t="str"/>
      <x:c r="G20" s="16" t="str"/>
      <x:c r="H20" s="16" t="str"/>
      <x:c r="I20" s="28" t="str"/>
      <x:c r="J20" s="28" t="str"/>
      <x:c r="K20" s="28" t="str"/>
      <x:c r="L20" s="16" t="str"/>
      <x:c r="M20" s="28" t="str">
        <x:f>IF(D20="","",D20+21)</x:f>
      </x:c>
      <x:c r="N20" s="16" t="str">
        <x:f>IF(M20="","",M20-TODAY())</x:f>
      </x:c>
      <x:c r="O20" s="16" t="str">
        <x:f>IF(A20="","",IF(OR(H20="Encerrado",H20="Descartado"),"Encerrado",IF(OR(H20="Sintomático",H20="Suspeito",H20="Confirmado",H20="Óbito"),"Requer avaliação/ação",IF(N20&lt;0,"Prazo concluído","Em monitoramento"))))</x:f>
      </x:c>
      <x:c r="P20" s="16" t="str">
        <x:f>IF(A20="","",IF(OR(E20="Manipulação do corpo",E20="Velório/funeral",E20="Sepultamento",E20="Limpeza/desinfecção"),"Pós-óbito",IF(OR(E20="Transporte do paciente",E20="Cuidado direto",E20="Contato com fluidos",E20="Serviço de saúde",E20="Laboratório"),"Exposição direta/assistencial","Exposição comunitária/outro")))</x:f>
      </x:c>
      <x:c r="Q20" s="16" t="str">
        <x:f>IF(A20="","",IF(P20="Pós-óbito","Sim","Não"))</x:f>
      </x:c>
    </x:row>
    <x:row r="21">
      <x:c r="A21" s="16" t="str"/>
      <x:c r="B21" s="16" t="str"/>
      <x:c r="C21" s="16" t="str"/>
      <x:c r="D21" s="28" t="str"/>
      <x:c r="E21" s="16" t="str"/>
      <x:c r="F21" s="16" t="str"/>
      <x:c r="G21" s="16" t="str"/>
      <x:c r="H21" s="16" t="str"/>
      <x:c r="I21" s="28" t="str"/>
      <x:c r="J21" s="28" t="str"/>
      <x:c r="K21" s="28" t="str"/>
      <x:c r="L21" s="16" t="str"/>
      <x:c r="M21" s="28" t="str">
        <x:f>IF(D21="","",D21+21)</x:f>
      </x:c>
      <x:c r="N21" s="16" t="str">
        <x:f>IF(M21="","",M21-TODAY())</x:f>
      </x:c>
      <x:c r="O21" s="16" t="str">
        <x:f>IF(A21="","",IF(OR(H21="Encerrado",H21="Descartado"),"Encerrado",IF(OR(H21="Sintomático",H21="Suspeito",H21="Confirmado",H21="Óbito"),"Requer avaliação/ação",IF(N21&lt;0,"Prazo concluído","Em monitoramento"))))</x:f>
      </x:c>
      <x:c r="P21" s="16" t="str">
        <x:f>IF(A21="","",IF(OR(E21="Manipulação do corpo",E21="Velório/funeral",E21="Sepultamento",E21="Limpeza/desinfecção"),"Pós-óbito",IF(OR(E21="Transporte do paciente",E21="Cuidado direto",E21="Contato com fluidos",E21="Serviço de saúde",E21="Laboratório"),"Exposição direta/assistencial","Exposição comunitária/outro")))</x:f>
      </x:c>
      <x:c r="Q21" s="16" t="str">
        <x:f>IF(A21="","",IF(P21="Pós-óbito","Sim","Não"))</x:f>
      </x:c>
    </x:row>
    <x:row r="22">
      <x:c r="A22" s="16" t="str"/>
      <x:c r="B22" s="16" t="str"/>
      <x:c r="C22" s="16" t="str"/>
      <x:c r="D22" s="28" t="str"/>
      <x:c r="E22" s="16" t="str"/>
      <x:c r="F22" s="16" t="str"/>
      <x:c r="G22" s="16" t="str"/>
      <x:c r="H22" s="16" t="str"/>
      <x:c r="I22" s="28" t="str"/>
      <x:c r="J22" s="28" t="str"/>
      <x:c r="K22" s="28" t="str"/>
      <x:c r="L22" s="16" t="str"/>
      <x:c r="M22" s="28" t="str">
        <x:f>IF(D22="","",D22+21)</x:f>
      </x:c>
      <x:c r="N22" s="16" t="str">
        <x:f>IF(M22="","",M22-TODAY())</x:f>
      </x:c>
      <x:c r="O22" s="16" t="str">
        <x:f>IF(A22="","",IF(OR(H22="Encerrado",H22="Descartado"),"Encerrado",IF(OR(H22="Sintomático",H22="Suspeito",H22="Confirmado",H22="Óbito"),"Requer avaliação/ação",IF(N22&lt;0,"Prazo concluído","Em monitoramento"))))</x:f>
      </x:c>
      <x:c r="P22" s="16" t="str">
        <x:f>IF(A22="","",IF(OR(E22="Manipulação do corpo",E22="Velório/funeral",E22="Sepultamento",E22="Limpeza/desinfecção"),"Pós-óbito",IF(OR(E22="Transporte do paciente",E22="Cuidado direto",E22="Contato com fluidos",E22="Serviço de saúde",E22="Laboratório"),"Exposição direta/assistencial","Exposição comunitária/outro")))</x:f>
      </x:c>
      <x:c r="Q22" s="16" t="str">
        <x:f>IF(A22="","",IF(P22="Pós-óbito","Sim","Não"))</x:f>
      </x:c>
    </x:row>
    <x:row r="23">
      <x:c r="A23" s="16" t="str"/>
      <x:c r="B23" s="16" t="str"/>
      <x:c r="C23" s="16" t="str"/>
      <x:c r="D23" s="28" t="str"/>
      <x:c r="E23" s="16" t="str"/>
      <x:c r="F23" s="16" t="str"/>
      <x:c r="G23" s="16" t="str"/>
      <x:c r="H23" s="16" t="str"/>
      <x:c r="I23" s="28" t="str"/>
      <x:c r="J23" s="28" t="str"/>
      <x:c r="K23" s="28" t="str"/>
      <x:c r="L23" s="16" t="str"/>
      <x:c r="M23" s="28" t="str">
        <x:f>IF(D23="","",D23+21)</x:f>
      </x:c>
      <x:c r="N23" s="16" t="str">
        <x:f>IF(M23="","",M23-TODAY())</x:f>
      </x:c>
      <x:c r="O23" s="16" t="str">
        <x:f>IF(A23="","",IF(OR(H23="Encerrado",H23="Descartado"),"Encerrado",IF(OR(H23="Sintomático",H23="Suspeito",H23="Confirmado",H23="Óbito"),"Requer avaliação/ação",IF(N23&lt;0,"Prazo concluído","Em monitoramento"))))</x:f>
      </x:c>
      <x:c r="P23" s="16" t="str">
        <x:f>IF(A23="","",IF(OR(E23="Manipulação do corpo",E23="Velório/funeral",E23="Sepultamento",E23="Limpeza/desinfecção"),"Pós-óbito",IF(OR(E23="Transporte do paciente",E23="Cuidado direto",E23="Contato com fluidos",E23="Serviço de saúde",E23="Laboratório"),"Exposição direta/assistencial","Exposição comunitária/outro")))</x:f>
      </x:c>
      <x:c r="Q23" s="16" t="str">
        <x:f>IF(A23="","",IF(P23="Pós-óbito","Sim","Não"))</x:f>
      </x:c>
    </x:row>
    <x:row r="24">
      <x:c r="A24" s="16" t="str"/>
      <x:c r="B24" s="16" t="str"/>
      <x:c r="C24" s="16" t="str"/>
      <x:c r="D24" s="28" t="str"/>
      <x:c r="E24" s="16" t="str"/>
      <x:c r="F24" s="16" t="str"/>
      <x:c r="G24" s="16" t="str"/>
      <x:c r="H24" s="16" t="str"/>
      <x:c r="I24" s="28" t="str"/>
      <x:c r="J24" s="28" t="str"/>
      <x:c r="K24" s="28" t="str"/>
      <x:c r="L24" s="16" t="str"/>
      <x:c r="M24" s="28" t="str">
        <x:f>IF(D24="","",D24+21)</x:f>
      </x:c>
      <x:c r="N24" s="16" t="str">
        <x:f>IF(M24="","",M24-TODAY())</x:f>
      </x:c>
      <x:c r="O24" s="16" t="str">
        <x:f>IF(A24="","",IF(OR(H24="Encerrado",H24="Descartado"),"Encerrado",IF(OR(H24="Sintomático",H24="Suspeito",H24="Confirmado",H24="Óbito"),"Requer avaliação/ação",IF(N24&lt;0,"Prazo concluído","Em monitoramento"))))</x:f>
      </x:c>
      <x:c r="P24" s="16" t="str">
        <x:f>IF(A24="","",IF(OR(E24="Manipulação do corpo",E24="Velório/funeral",E24="Sepultamento",E24="Limpeza/desinfecção"),"Pós-óbito",IF(OR(E24="Transporte do paciente",E24="Cuidado direto",E24="Contato com fluidos",E24="Serviço de saúde",E24="Laboratório"),"Exposição direta/assistencial","Exposição comunitária/outro")))</x:f>
      </x:c>
      <x:c r="Q24" s="16" t="str">
        <x:f>IF(A24="","",IF(P24="Pós-óbito","Sim","Não"))</x:f>
      </x:c>
    </x:row>
    <x:row r="25">
      <x:c r="A25" s="16" t="str"/>
      <x:c r="B25" s="16" t="str"/>
      <x:c r="C25" s="16" t="str"/>
      <x:c r="D25" s="28" t="str"/>
      <x:c r="E25" s="16" t="str"/>
      <x:c r="F25" s="16" t="str"/>
      <x:c r="G25" s="16" t="str"/>
      <x:c r="H25" s="16" t="str"/>
      <x:c r="I25" s="28" t="str"/>
      <x:c r="J25" s="28" t="str"/>
      <x:c r="K25" s="28" t="str"/>
      <x:c r="L25" s="16" t="str"/>
      <x:c r="M25" s="28" t="str">
        <x:f>IF(D25="","",D25+21)</x:f>
      </x:c>
      <x:c r="N25" s="16" t="str">
        <x:f>IF(M25="","",M25-TODAY())</x:f>
      </x:c>
      <x:c r="O25" s="16" t="str">
        <x:f>IF(A25="","",IF(OR(H25="Encerrado",H25="Descartado"),"Encerrado",IF(OR(H25="Sintomático",H25="Suspeito",H25="Confirmado",H25="Óbito"),"Requer avaliação/ação",IF(N25&lt;0,"Prazo concluído","Em monitoramento"))))</x:f>
      </x:c>
      <x:c r="P25" s="16" t="str">
        <x:f>IF(A25="","",IF(OR(E25="Manipulação do corpo",E25="Velório/funeral",E25="Sepultamento",E25="Limpeza/desinfecção"),"Pós-óbito",IF(OR(E25="Transporte do paciente",E25="Cuidado direto",E25="Contato com fluidos",E25="Serviço de saúde",E25="Laboratório"),"Exposição direta/assistencial","Exposição comunitária/outro")))</x:f>
      </x:c>
      <x:c r="Q25" s="16" t="str">
        <x:f>IF(A25="","",IF(P25="Pós-óbito","Sim","Não"))</x:f>
      </x:c>
    </x:row>
    <x:row r="26">
      <x:c r="A26" s="16" t="str"/>
      <x:c r="B26" s="16" t="str"/>
      <x:c r="C26" s="16" t="str"/>
      <x:c r="D26" s="28" t="str"/>
      <x:c r="E26" s="16" t="str"/>
      <x:c r="F26" s="16" t="str"/>
      <x:c r="G26" s="16" t="str"/>
      <x:c r="H26" s="16" t="str"/>
      <x:c r="I26" s="28" t="str"/>
      <x:c r="J26" s="28" t="str"/>
      <x:c r="K26" s="28" t="str"/>
      <x:c r="L26" s="16" t="str"/>
      <x:c r="M26" s="28" t="str">
        <x:f>IF(D26="","",D26+21)</x:f>
      </x:c>
      <x:c r="N26" s="16" t="str">
        <x:f>IF(M26="","",M26-TODAY())</x:f>
      </x:c>
      <x:c r="O26" s="16" t="str">
        <x:f>IF(A26="","",IF(OR(H26="Encerrado",H26="Descartado"),"Encerrado",IF(OR(H26="Sintomático",H26="Suspeito",H26="Confirmado",H26="Óbito"),"Requer avaliação/ação",IF(N26&lt;0,"Prazo concluído","Em monitoramento"))))</x:f>
      </x:c>
      <x:c r="P26" s="16" t="str">
        <x:f>IF(A26="","",IF(OR(E26="Manipulação do corpo",E26="Velório/funeral",E26="Sepultamento",E26="Limpeza/desinfecção"),"Pós-óbito",IF(OR(E26="Transporte do paciente",E26="Cuidado direto",E26="Contato com fluidos",E26="Serviço de saúde",E26="Laboratório"),"Exposição direta/assistencial","Exposição comunitária/outro")))</x:f>
      </x:c>
      <x:c r="Q26" s="16" t="str">
        <x:f>IF(A26="","",IF(P26="Pós-óbito","Sim","Não"))</x:f>
      </x:c>
    </x:row>
    <x:row r="27">
      <x:c r="A27" s="16" t="str"/>
      <x:c r="B27" s="16" t="str"/>
      <x:c r="C27" s="16" t="str"/>
      <x:c r="D27" s="28" t="str"/>
      <x:c r="E27" s="16" t="str"/>
      <x:c r="F27" s="16" t="str"/>
      <x:c r="G27" s="16" t="str"/>
      <x:c r="H27" s="16" t="str"/>
      <x:c r="I27" s="28" t="str"/>
      <x:c r="J27" s="28" t="str"/>
      <x:c r="K27" s="28" t="str"/>
      <x:c r="L27" s="16" t="str"/>
      <x:c r="M27" s="28" t="str">
        <x:f>IF(D27="","",D27+21)</x:f>
      </x:c>
      <x:c r="N27" s="16" t="str">
        <x:f>IF(M27="","",M27-TODAY())</x:f>
      </x:c>
      <x:c r="O27" s="16" t="str">
        <x:f>IF(A27="","",IF(OR(H27="Encerrado",H27="Descartado"),"Encerrado",IF(OR(H27="Sintomático",H27="Suspeito",H27="Confirmado",H27="Óbito"),"Requer avaliação/ação",IF(N27&lt;0,"Prazo concluído","Em monitoramento"))))</x:f>
      </x:c>
      <x:c r="P27" s="16" t="str">
        <x:f>IF(A27="","",IF(OR(E27="Manipulação do corpo",E27="Velório/funeral",E27="Sepultamento",E27="Limpeza/desinfecção"),"Pós-óbito",IF(OR(E27="Transporte do paciente",E27="Cuidado direto",E27="Contato com fluidos",E27="Serviço de saúde",E27="Laboratório"),"Exposição direta/assistencial","Exposição comunitária/outro")))</x:f>
      </x:c>
      <x:c r="Q27" s="16" t="str">
        <x:f>IF(A27="","",IF(P27="Pós-óbito","Sim","Não"))</x:f>
      </x:c>
    </x:row>
    <x:row r="28">
      <x:c r="A28" s="16" t="str"/>
      <x:c r="B28" s="16" t="str"/>
      <x:c r="C28" s="16" t="str"/>
      <x:c r="D28" s="28" t="str"/>
      <x:c r="E28" s="16" t="str"/>
      <x:c r="F28" s="16" t="str"/>
      <x:c r="G28" s="16" t="str"/>
      <x:c r="H28" s="16" t="str"/>
      <x:c r="I28" s="28" t="str"/>
      <x:c r="J28" s="28" t="str"/>
      <x:c r="K28" s="28" t="str"/>
      <x:c r="L28" s="16" t="str"/>
      <x:c r="M28" s="28" t="str">
        <x:f>IF(D28="","",D28+21)</x:f>
      </x:c>
      <x:c r="N28" s="16" t="str">
        <x:f>IF(M28="","",M28-TODAY())</x:f>
      </x:c>
      <x:c r="O28" s="16" t="str">
        <x:f>IF(A28="","",IF(OR(H28="Encerrado",H28="Descartado"),"Encerrado",IF(OR(H28="Sintomático",H28="Suspeito",H28="Confirmado",H28="Óbito"),"Requer avaliação/ação",IF(N28&lt;0,"Prazo concluído","Em monitoramento"))))</x:f>
      </x:c>
      <x:c r="P28" s="16" t="str">
        <x:f>IF(A28="","",IF(OR(E28="Manipulação do corpo",E28="Velório/funeral",E28="Sepultamento",E28="Limpeza/desinfecção"),"Pós-óbito",IF(OR(E28="Transporte do paciente",E28="Cuidado direto",E28="Contato com fluidos",E28="Serviço de saúde",E28="Laboratório"),"Exposição direta/assistencial","Exposição comunitária/outro")))</x:f>
      </x:c>
      <x:c r="Q28" s="16" t="str">
        <x:f>IF(A28="","",IF(P28="Pós-óbito","Sim","Não"))</x:f>
      </x:c>
    </x:row>
    <x:row r="29">
      <x:c r="A29" s="16" t="str"/>
      <x:c r="B29" s="16" t="str"/>
      <x:c r="C29" s="16" t="str"/>
      <x:c r="D29" s="28" t="str"/>
      <x:c r="E29" s="16" t="str"/>
      <x:c r="F29" s="16" t="str"/>
      <x:c r="G29" s="16" t="str"/>
      <x:c r="H29" s="16" t="str"/>
      <x:c r="I29" s="28" t="str"/>
      <x:c r="J29" s="28" t="str"/>
      <x:c r="K29" s="28" t="str"/>
      <x:c r="L29" s="16" t="str"/>
      <x:c r="M29" s="28" t="str">
        <x:f>IF(D29="","",D29+21)</x:f>
      </x:c>
      <x:c r="N29" s="16" t="str">
        <x:f>IF(M29="","",M29-TODAY())</x:f>
      </x:c>
      <x:c r="O29" s="16" t="str">
        <x:f>IF(A29="","",IF(OR(H29="Encerrado",H29="Descartado"),"Encerrado",IF(OR(H29="Sintomático",H29="Suspeito",H29="Confirmado",H29="Óbito"),"Requer avaliação/ação",IF(N29&lt;0,"Prazo concluído","Em monitoramento"))))</x:f>
      </x:c>
      <x:c r="P29" s="16" t="str">
        <x:f>IF(A29="","",IF(OR(E29="Manipulação do corpo",E29="Velório/funeral",E29="Sepultamento",E29="Limpeza/desinfecção"),"Pós-óbito",IF(OR(E29="Transporte do paciente",E29="Cuidado direto",E29="Contato com fluidos",E29="Serviço de saúde",E29="Laboratório"),"Exposição direta/assistencial","Exposição comunitária/outro")))</x:f>
      </x:c>
      <x:c r="Q29" s="16" t="str">
        <x:f>IF(A29="","",IF(P29="Pós-óbito","Sim","Não"))</x:f>
      </x:c>
    </x:row>
    <x:row r="30">
      <x:c r="A30" s="16" t="str"/>
      <x:c r="B30" s="16" t="str"/>
      <x:c r="C30" s="16" t="str"/>
      <x:c r="D30" s="28" t="str"/>
      <x:c r="E30" s="16" t="str"/>
      <x:c r="F30" s="16" t="str"/>
      <x:c r="G30" s="16" t="str"/>
      <x:c r="H30" s="16" t="str"/>
      <x:c r="I30" s="28" t="str"/>
      <x:c r="J30" s="28" t="str"/>
      <x:c r="K30" s="28" t="str"/>
      <x:c r="L30" s="16" t="str"/>
      <x:c r="M30" s="28" t="str">
        <x:f>IF(D30="","",D30+21)</x:f>
      </x:c>
      <x:c r="N30" s="16" t="str">
        <x:f>IF(M30="","",M30-TODAY())</x:f>
      </x:c>
      <x:c r="O30" s="16" t="str">
        <x:f>IF(A30="","",IF(OR(H30="Encerrado",H30="Descartado"),"Encerrado",IF(OR(H30="Sintomático",H30="Suspeito",H30="Confirmado",H30="Óbito"),"Requer avaliação/ação",IF(N30&lt;0,"Prazo concluído","Em monitoramento"))))</x:f>
      </x:c>
      <x:c r="P30" s="16" t="str">
        <x:f>IF(A30="","",IF(OR(E30="Manipulação do corpo",E30="Velório/funeral",E30="Sepultamento",E30="Limpeza/desinfecção"),"Pós-óbito",IF(OR(E30="Transporte do paciente",E30="Cuidado direto",E30="Contato com fluidos",E30="Serviço de saúde",E30="Laboratório"),"Exposição direta/assistencial","Exposição comunitária/outro")))</x:f>
      </x:c>
      <x:c r="Q30" s="16" t="str">
        <x:f>IF(A30="","",IF(P30="Pós-óbito","Sim","Não"))</x:f>
      </x:c>
    </x:row>
    <x:row r="31">
      <x:c r="A31" s="16" t="str"/>
      <x:c r="B31" s="16" t="str"/>
      <x:c r="C31" s="16" t="str"/>
      <x:c r="D31" s="28" t="str"/>
      <x:c r="E31" s="16" t="str"/>
      <x:c r="F31" s="16" t="str"/>
      <x:c r="G31" s="16" t="str"/>
      <x:c r="H31" s="16" t="str"/>
      <x:c r="I31" s="28" t="str"/>
      <x:c r="J31" s="28" t="str"/>
      <x:c r="K31" s="28" t="str"/>
      <x:c r="L31" s="16" t="str"/>
      <x:c r="M31" s="28" t="str">
        <x:f>IF(D31="","",D31+21)</x:f>
      </x:c>
      <x:c r="N31" s="16" t="str">
        <x:f>IF(M31="","",M31-TODAY())</x:f>
      </x:c>
      <x:c r="O31" s="16" t="str">
        <x:f>IF(A31="","",IF(OR(H31="Encerrado",H31="Descartado"),"Encerrado",IF(OR(H31="Sintomático",H31="Suspeito",H31="Confirmado",H31="Óbito"),"Requer avaliação/ação",IF(N31&lt;0,"Prazo concluído","Em monitoramento"))))</x:f>
      </x:c>
      <x:c r="P31" s="16" t="str">
        <x:f>IF(A31="","",IF(OR(E31="Manipulação do corpo",E31="Velório/funeral",E31="Sepultamento",E31="Limpeza/desinfecção"),"Pós-óbito",IF(OR(E31="Transporte do paciente",E31="Cuidado direto",E31="Contato com fluidos",E31="Serviço de saúde",E31="Laboratório"),"Exposição direta/assistencial","Exposição comunitária/outro")))</x:f>
      </x:c>
      <x:c r="Q31" s="16" t="str">
        <x:f>IF(A31="","",IF(P31="Pós-óbito","Sim","Não"))</x:f>
      </x:c>
    </x:row>
    <x:row r="32">
      <x:c r="A32" s="16" t="str"/>
      <x:c r="B32" s="16" t="str"/>
      <x:c r="C32" s="16" t="str"/>
      <x:c r="D32" s="28" t="str"/>
      <x:c r="E32" s="16" t="str"/>
      <x:c r="F32" s="16" t="str"/>
      <x:c r="G32" s="16" t="str"/>
      <x:c r="H32" s="16" t="str"/>
      <x:c r="I32" s="28" t="str"/>
      <x:c r="J32" s="28" t="str"/>
      <x:c r="K32" s="28" t="str"/>
      <x:c r="L32" s="16" t="str"/>
      <x:c r="M32" s="28" t="str">
        <x:f>IF(D32="","",D32+21)</x:f>
      </x:c>
      <x:c r="N32" s="16" t="str">
        <x:f>IF(M32="","",M32-TODAY())</x:f>
      </x:c>
      <x:c r="O32" s="16" t="str">
        <x:f>IF(A32="","",IF(OR(H32="Encerrado",H32="Descartado"),"Encerrado",IF(OR(H32="Sintomático",H32="Suspeito",H32="Confirmado",H32="Óbito"),"Requer avaliação/ação",IF(N32&lt;0,"Prazo concluído","Em monitoramento"))))</x:f>
      </x:c>
      <x:c r="P32" s="16" t="str">
        <x:f>IF(A32="","",IF(OR(E32="Manipulação do corpo",E32="Velório/funeral",E32="Sepultamento",E32="Limpeza/desinfecção"),"Pós-óbito",IF(OR(E32="Transporte do paciente",E32="Cuidado direto",E32="Contato com fluidos",E32="Serviço de saúde",E32="Laboratório"),"Exposição direta/assistencial","Exposição comunitária/outro")))</x:f>
      </x:c>
      <x:c r="Q32" s="16" t="str">
        <x:f>IF(A32="","",IF(P32="Pós-óbito","Sim","Não"))</x:f>
      </x:c>
    </x:row>
    <x:row r="33">
      <x:c r="A33" s="16" t="str"/>
      <x:c r="B33" s="16" t="str"/>
      <x:c r="C33" s="16" t="str"/>
      <x:c r="D33" s="28" t="str"/>
      <x:c r="E33" s="16" t="str"/>
      <x:c r="F33" s="16" t="str"/>
      <x:c r="G33" s="16" t="str"/>
      <x:c r="H33" s="16" t="str"/>
      <x:c r="I33" s="28" t="str"/>
      <x:c r="J33" s="28" t="str"/>
      <x:c r="K33" s="28" t="str"/>
      <x:c r="L33" s="16" t="str"/>
      <x:c r="M33" s="28" t="str">
        <x:f>IF(D33="","",D33+21)</x:f>
      </x:c>
      <x:c r="N33" s="16" t="str">
        <x:f>IF(M33="","",M33-TODAY())</x:f>
      </x:c>
      <x:c r="O33" s="16" t="str">
        <x:f>IF(A33="","",IF(OR(H33="Encerrado",H33="Descartado"),"Encerrado",IF(OR(H33="Sintomático",H33="Suspeito",H33="Confirmado",H33="Óbito"),"Requer avaliação/ação",IF(N33&lt;0,"Prazo concluído","Em monitoramento"))))</x:f>
      </x:c>
      <x:c r="P33" s="16" t="str">
        <x:f>IF(A33="","",IF(OR(E33="Manipulação do corpo",E33="Velório/funeral",E33="Sepultamento",E33="Limpeza/desinfecção"),"Pós-óbito",IF(OR(E33="Transporte do paciente",E33="Cuidado direto",E33="Contato com fluidos",E33="Serviço de saúde",E33="Laboratório"),"Exposição direta/assistencial","Exposição comunitária/outro")))</x:f>
      </x:c>
      <x:c r="Q33" s="16" t="str">
        <x:f>IF(A33="","",IF(P33="Pós-óbito","Sim","Não"))</x:f>
      </x:c>
    </x:row>
    <x:row r="34">
      <x:c r="A34" s="16" t="str"/>
      <x:c r="B34" s="16" t="str"/>
      <x:c r="C34" s="16" t="str"/>
      <x:c r="D34" s="28" t="str"/>
      <x:c r="E34" s="16" t="str"/>
      <x:c r="F34" s="16" t="str"/>
      <x:c r="G34" s="16" t="str"/>
      <x:c r="H34" s="16" t="str"/>
      <x:c r="I34" s="28" t="str"/>
      <x:c r="J34" s="28" t="str"/>
      <x:c r="K34" s="28" t="str"/>
      <x:c r="L34" s="16" t="str"/>
      <x:c r="M34" s="28" t="str">
        <x:f>IF(D34="","",D34+21)</x:f>
      </x:c>
      <x:c r="N34" s="16" t="str">
        <x:f>IF(M34="","",M34-TODAY())</x:f>
      </x:c>
      <x:c r="O34" s="16" t="str">
        <x:f>IF(A34="","",IF(OR(H34="Encerrado",H34="Descartado"),"Encerrado",IF(OR(H34="Sintomático",H34="Suspeito",H34="Confirmado",H34="Óbito"),"Requer avaliação/ação",IF(N34&lt;0,"Prazo concluído","Em monitoramento"))))</x:f>
      </x:c>
      <x:c r="P34" s="16" t="str">
        <x:f>IF(A34="","",IF(OR(E34="Manipulação do corpo",E34="Velório/funeral",E34="Sepultamento",E34="Limpeza/desinfecção"),"Pós-óbito",IF(OR(E34="Transporte do paciente",E34="Cuidado direto",E34="Contato com fluidos",E34="Serviço de saúde",E34="Laboratório"),"Exposição direta/assistencial","Exposição comunitária/outro")))</x:f>
      </x:c>
      <x:c r="Q34" s="16" t="str">
        <x:f>IF(A34="","",IF(P34="Pós-óbito","Sim","Não"))</x:f>
      </x:c>
    </x:row>
    <x:row r="35">
      <x:c r="A35" s="16" t="str"/>
      <x:c r="B35" s="16" t="str"/>
      <x:c r="C35" s="16" t="str"/>
      <x:c r="D35" s="28" t="str"/>
      <x:c r="E35" s="16" t="str"/>
      <x:c r="F35" s="16" t="str"/>
      <x:c r="G35" s="16" t="str"/>
      <x:c r="H35" s="16" t="str"/>
      <x:c r="I35" s="28" t="str"/>
      <x:c r="J35" s="28" t="str"/>
      <x:c r="K35" s="28" t="str"/>
      <x:c r="L35" s="16" t="str"/>
      <x:c r="M35" s="28" t="str">
        <x:f>IF(D35="","",D35+21)</x:f>
      </x:c>
      <x:c r="N35" s="16" t="str">
        <x:f>IF(M35="","",M35-TODAY())</x:f>
      </x:c>
      <x:c r="O35" s="16" t="str">
        <x:f>IF(A35="","",IF(OR(H35="Encerrado",H35="Descartado"),"Encerrado",IF(OR(H35="Sintomático",H35="Suspeito",H35="Confirmado",H35="Óbito"),"Requer avaliação/ação",IF(N35&lt;0,"Prazo concluído","Em monitoramento"))))</x:f>
      </x:c>
      <x:c r="P35" s="16" t="str">
        <x:f>IF(A35="","",IF(OR(E35="Manipulação do corpo",E35="Velório/funeral",E35="Sepultamento",E35="Limpeza/desinfecção"),"Pós-óbito",IF(OR(E35="Transporte do paciente",E35="Cuidado direto",E35="Contato com fluidos",E35="Serviço de saúde",E35="Laboratório"),"Exposição direta/assistencial","Exposição comunitária/outro")))</x:f>
      </x:c>
      <x:c r="Q35" s="16" t="str">
        <x:f>IF(A35="","",IF(P35="Pós-óbito","Sim","Não"))</x:f>
      </x:c>
    </x:row>
    <x:row r="36">
      <x:c r="A36" s="16" t="str"/>
      <x:c r="B36" s="16" t="str"/>
      <x:c r="C36" s="16" t="str"/>
      <x:c r="D36" s="28" t="str"/>
      <x:c r="E36" s="16" t="str"/>
      <x:c r="F36" s="16" t="str"/>
      <x:c r="G36" s="16" t="str"/>
      <x:c r="H36" s="16" t="str"/>
      <x:c r="I36" s="28" t="str"/>
      <x:c r="J36" s="28" t="str"/>
      <x:c r="K36" s="28" t="str"/>
      <x:c r="L36" s="16" t="str"/>
      <x:c r="M36" s="28" t="str">
        <x:f>IF(D36="","",D36+21)</x:f>
      </x:c>
      <x:c r="N36" s="16" t="str">
        <x:f>IF(M36="","",M36-TODAY())</x:f>
      </x:c>
      <x:c r="O36" s="16" t="str">
        <x:f>IF(A36="","",IF(OR(H36="Encerrado",H36="Descartado"),"Encerrado",IF(OR(H36="Sintomático",H36="Suspeito",H36="Confirmado",H36="Óbito"),"Requer avaliação/ação",IF(N36&lt;0,"Prazo concluído","Em monitoramento"))))</x:f>
      </x:c>
      <x:c r="P36" s="16" t="str">
        <x:f>IF(A36="","",IF(OR(E36="Manipulação do corpo",E36="Velório/funeral",E36="Sepultamento",E36="Limpeza/desinfecção"),"Pós-óbito",IF(OR(E36="Transporte do paciente",E36="Cuidado direto",E36="Contato com fluidos",E36="Serviço de saúde",E36="Laboratório"),"Exposição direta/assistencial","Exposição comunitária/outro")))</x:f>
      </x:c>
      <x:c r="Q36" s="16" t="str">
        <x:f>IF(A36="","",IF(P36="Pós-óbito","Sim","Não"))</x:f>
      </x:c>
    </x:row>
    <x:row r="37">
      <x:c r="A37" s="16" t="str"/>
      <x:c r="B37" s="16" t="str"/>
      <x:c r="C37" s="16" t="str"/>
      <x:c r="D37" s="28" t="str"/>
      <x:c r="E37" s="16" t="str"/>
      <x:c r="F37" s="16" t="str"/>
      <x:c r="G37" s="16" t="str"/>
      <x:c r="H37" s="16" t="str"/>
      <x:c r="I37" s="28" t="str"/>
      <x:c r="J37" s="28" t="str"/>
      <x:c r="K37" s="28" t="str"/>
      <x:c r="L37" s="16" t="str"/>
      <x:c r="M37" s="28" t="str">
        <x:f>IF(D37="","",D37+21)</x:f>
      </x:c>
      <x:c r="N37" s="16" t="str">
        <x:f>IF(M37="","",M37-TODAY())</x:f>
      </x:c>
      <x:c r="O37" s="16" t="str">
        <x:f>IF(A37="","",IF(OR(H37="Encerrado",H37="Descartado"),"Encerrado",IF(OR(H37="Sintomático",H37="Suspeito",H37="Confirmado",H37="Óbito"),"Requer avaliação/ação",IF(N37&lt;0,"Prazo concluído","Em monitoramento"))))</x:f>
      </x:c>
      <x:c r="P37" s="16" t="str">
        <x:f>IF(A37="","",IF(OR(E37="Manipulação do corpo",E37="Velório/funeral",E37="Sepultamento",E37="Limpeza/desinfecção"),"Pós-óbito",IF(OR(E37="Transporte do paciente",E37="Cuidado direto",E37="Contato com fluidos",E37="Serviço de saúde",E37="Laboratório"),"Exposição direta/assistencial","Exposição comunitária/outro")))</x:f>
      </x:c>
      <x:c r="Q37" s="16" t="str">
        <x:f>IF(A37="","",IF(P37="Pós-óbito","Sim","Não"))</x:f>
      </x:c>
    </x:row>
    <x:row r="38">
      <x:c r="A38" s="16" t="str"/>
      <x:c r="B38" s="16" t="str"/>
      <x:c r="C38" s="16" t="str"/>
      <x:c r="D38" s="28" t="str"/>
      <x:c r="E38" s="16" t="str"/>
      <x:c r="F38" s="16" t="str"/>
      <x:c r="G38" s="16" t="str"/>
      <x:c r="H38" s="16" t="str"/>
      <x:c r="I38" s="28" t="str"/>
      <x:c r="J38" s="28" t="str"/>
      <x:c r="K38" s="28" t="str"/>
      <x:c r="L38" s="16" t="str"/>
      <x:c r="M38" s="28" t="str">
        <x:f>IF(D38="","",D38+21)</x:f>
      </x:c>
      <x:c r="N38" s="16" t="str">
        <x:f>IF(M38="","",M38-TODAY())</x:f>
      </x:c>
      <x:c r="O38" s="16" t="str">
        <x:f>IF(A38="","",IF(OR(H38="Encerrado",H38="Descartado"),"Encerrado",IF(OR(H38="Sintomático",H38="Suspeito",H38="Confirmado",H38="Óbito"),"Requer avaliação/ação",IF(N38&lt;0,"Prazo concluído","Em monitoramento"))))</x:f>
      </x:c>
      <x:c r="P38" s="16" t="str">
        <x:f>IF(A38="","",IF(OR(E38="Manipulação do corpo",E38="Velório/funeral",E38="Sepultamento",E38="Limpeza/desinfecção"),"Pós-óbito",IF(OR(E38="Transporte do paciente",E38="Cuidado direto",E38="Contato com fluidos",E38="Serviço de saúde",E38="Laboratório"),"Exposição direta/assistencial","Exposição comunitária/outro")))</x:f>
      </x:c>
      <x:c r="Q38" s="16" t="str">
        <x:f>IF(A38="","",IF(P38="Pós-óbito","Sim","Não"))</x:f>
      </x:c>
    </x:row>
    <x:row r="39">
      <x:c r="A39" s="16" t="str"/>
      <x:c r="B39" s="16" t="str"/>
      <x:c r="C39" s="16" t="str"/>
      <x:c r="D39" s="28" t="str"/>
      <x:c r="E39" s="16" t="str"/>
      <x:c r="F39" s="16" t="str"/>
      <x:c r="G39" s="16" t="str"/>
      <x:c r="H39" s="16" t="str"/>
      <x:c r="I39" s="28" t="str"/>
      <x:c r="J39" s="28" t="str"/>
      <x:c r="K39" s="28" t="str"/>
      <x:c r="L39" s="16" t="str"/>
      <x:c r="M39" s="28" t="str">
        <x:f>IF(D39="","",D39+21)</x:f>
      </x:c>
      <x:c r="N39" s="16" t="str">
        <x:f>IF(M39="","",M39-TODAY())</x:f>
      </x:c>
      <x:c r="O39" s="16" t="str">
        <x:f>IF(A39="","",IF(OR(H39="Encerrado",H39="Descartado"),"Encerrado",IF(OR(H39="Sintomático",H39="Suspeito",H39="Confirmado",H39="Óbito"),"Requer avaliação/ação",IF(N39&lt;0,"Prazo concluído","Em monitoramento"))))</x:f>
      </x:c>
      <x:c r="P39" s="16" t="str">
        <x:f>IF(A39="","",IF(OR(E39="Manipulação do corpo",E39="Velório/funeral",E39="Sepultamento",E39="Limpeza/desinfecção"),"Pós-óbito",IF(OR(E39="Transporte do paciente",E39="Cuidado direto",E39="Contato com fluidos",E39="Serviço de saúde",E39="Laboratório"),"Exposição direta/assistencial","Exposição comunitária/outro")))</x:f>
      </x:c>
      <x:c r="Q39" s="16" t="str">
        <x:f>IF(A39="","",IF(P39="Pós-óbito","Sim","Não"))</x:f>
      </x:c>
    </x:row>
    <x:row r="40">
      <x:c r="A40" s="16" t="str"/>
      <x:c r="B40" s="16" t="str"/>
      <x:c r="C40" s="16" t="str"/>
      <x:c r="D40" s="28" t="str"/>
      <x:c r="E40" s="16" t="str"/>
      <x:c r="F40" s="16" t="str"/>
      <x:c r="G40" s="16" t="str"/>
      <x:c r="H40" s="16" t="str"/>
      <x:c r="I40" s="28" t="str"/>
      <x:c r="J40" s="28" t="str"/>
      <x:c r="K40" s="28" t="str"/>
      <x:c r="L40" s="16" t="str"/>
      <x:c r="M40" s="28" t="str">
        <x:f>IF(D40="","",D40+21)</x:f>
      </x:c>
      <x:c r="N40" s="16" t="str">
        <x:f>IF(M40="","",M40-TODAY())</x:f>
      </x:c>
      <x:c r="O40" s="16" t="str">
        <x:f>IF(A40="","",IF(OR(H40="Encerrado",H40="Descartado"),"Encerrado",IF(OR(H40="Sintomático",H40="Suspeito",H40="Confirmado",H40="Óbito"),"Requer avaliação/ação",IF(N40&lt;0,"Prazo concluído","Em monitoramento"))))</x:f>
      </x:c>
      <x:c r="P40" s="16" t="str">
        <x:f>IF(A40="","",IF(OR(E40="Manipulação do corpo",E40="Velório/funeral",E40="Sepultamento",E40="Limpeza/desinfecção"),"Pós-óbito",IF(OR(E40="Transporte do paciente",E40="Cuidado direto",E40="Contato com fluidos",E40="Serviço de saúde",E40="Laboratório"),"Exposição direta/assistencial","Exposição comunitária/outro")))</x:f>
      </x:c>
      <x:c r="Q40" s="16" t="str">
        <x:f>IF(A40="","",IF(P40="Pós-óbito","Sim","Não"))</x:f>
      </x:c>
    </x:row>
    <x:row r="41">
      <x:c r="A41" s="16" t="str"/>
      <x:c r="B41" s="16" t="str"/>
      <x:c r="C41" s="16" t="str"/>
      <x:c r="D41" s="28" t="str"/>
      <x:c r="E41" s="16" t="str"/>
      <x:c r="F41" s="16" t="str"/>
      <x:c r="G41" s="16" t="str"/>
      <x:c r="H41" s="16" t="str"/>
      <x:c r="I41" s="28" t="str"/>
      <x:c r="J41" s="28" t="str"/>
      <x:c r="K41" s="28" t="str"/>
      <x:c r="L41" s="16" t="str"/>
      <x:c r="M41" s="28" t="str">
        <x:f>IF(D41="","",D41+21)</x:f>
      </x:c>
      <x:c r="N41" s="16" t="str">
        <x:f>IF(M41="","",M41-TODAY())</x:f>
      </x:c>
      <x:c r="O41" s="16" t="str">
        <x:f>IF(A41="","",IF(OR(H41="Encerrado",H41="Descartado"),"Encerrado",IF(OR(H41="Sintomático",H41="Suspeito",H41="Confirmado",H41="Óbito"),"Requer avaliação/ação",IF(N41&lt;0,"Prazo concluído","Em monitoramento"))))</x:f>
      </x:c>
      <x:c r="P41" s="16" t="str">
        <x:f>IF(A41="","",IF(OR(E41="Manipulação do corpo",E41="Velório/funeral",E41="Sepultamento",E41="Limpeza/desinfecção"),"Pós-óbito",IF(OR(E41="Transporte do paciente",E41="Cuidado direto",E41="Contato com fluidos",E41="Serviço de saúde",E41="Laboratório"),"Exposição direta/assistencial","Exposição comunitária/outro")))</x:f>
      </x:c>
      <x:c r="Q41" s="16" t="str">
        <x:f>IF(A41="","",IF(P41="Pós-óbito","Sim","Não"))</x:f>
      </x:c>
    </x:row>
    <x:row r="42">
      <x:c r="A42" s="16" t="str"/>
      <x:c r="B42" s="16" t="str"/>
      <x:c r="C42" s="16" t="str"/>
      <x:c r="D42" s="28" t="str"/>
      <x:c r="E42" s="16" t="str"/>
      <x:c r="F42" s="16" t="str"/>
      <x:c r="G42" s="16" t="str"/>
      <x:c r="H42" s="16" t="str"/>
      <x:c r="I42" s="28" t="str"/>
      <x:c r="J42" s="28" t="str"/>
      <x:c r="K42" s="28" t="str"/>
      <x:c r="L42" s="16" t="str"/>
      <x:c r="M42" s="28" t="str">
        <x:f>IF(D42="","",D42+21)</x:f>
      </x:c>
      <x:c r="N42" s="16" t="str">
        <x:f>IF(M42="","",M42-TODAY())</x:f>
      </x:c>
      <x:c r="O42" s="16" t="str">
        <x:f>IF(A42="","",IF(OR(H42="Encerrado",H42="Descartado"),"Encerrado",IF(OR(H42="Sintomático",H42="Suspeito",H42="Confirmado",H42="Óbito"),"Requer avaliação/ação",IF(N42&lt;0,"Prazo concluído","Em monitoramento"))))</x:f>
      </x:c>
      <x:c r="P42" s="16" t="str">
        <x:f>IF(A42="","",IF(OR(E42="Manipulação do corpo",E42="Velório/funeral",E42="Sepultamento",E42="Limpeza/desinfecção"),"Pós-óbito",IF(OR(E42="Transporte do paciente",E42="Cuidado direto",E42="Contato com fluidos",E42="Serviço de saúde",E42="Laboratório"),"Exposição direta/assistencial","Exposição comunitária/outro")))</x:f>
      </x:c>
      <x:c r="Q42" s="16" t="str">
        <x:f>IF(A42="","",IF(P42="Pós-óbito","Sim","Não"))</x:f>
      </x:c>
    </x:row>
    <x:row r="43">
      <x:c r="A43" s="16" t="str"/>
      <x:c r="B43" s="16" t="str"/>
      <x:c r="C43" s="16" t="str"/>
      <x:c r="D43" s="28" t="str"/>
      <x:c r="E43" s="16" t="str"/>
      <x:c r="F43" s="16" t="str"/>
      <x:c r="G43" s="16" t="str"/>
      <x:c r="H43" s="16" t="str"/>
      <x:c r="I43" s="28" t="str"/>
      <x:c r="J43" s="28" t="str"/>
      <x:c r="K43" s="28" t="str"/>
      <x:c r="L43" s="16" t="str"/>
      <x:c r="M43" s="28" t="str">
        <x:f>IF(D43="","",D43+21)</x:f>
      </x:c>
      <x:c r="N43" s="16" t="str">
        <x:f>IF(M43="","",M43-TODAY())</x:f>
      </x:c>
      <x:c r="O43" s="16" t="str">
        <x:f>IF(A43="","",IF(OR(H43="Encerrado",H43="Descartado"),"Encerrado",IF(OR(H43="Sintomático",H43="Suspeito",H43="Confirmado",H43="Óbito"),"Requer avaliação/ação",IF(N43&lt;0,"Prazo concluído","Em monitoramento"))))</x:f>
      </x:c>
      <x:c r="P43" s="16" t="str">
        <x:f>IF(A43="","",IF(OR(E43="Manipulação do corpo",E43="Velório/funeral",E43="Sepultamento",E43="Limpeza/desinfecção"),"Pós-óbito",IF(OR(E43="Transporte do paciente",E43="Cuidado direto",E43="Contato com fluidos",E43="Serviço de saúde",E43="Laboratório"),"Exposição direta/assistencial","Exposição comunitária/outro")))</x:f>
      </x:c>
      <x:c r="Q43" s="16" t="str">
        <x:f>IF(A43="","",IF(P43="Pós-óbito","Sim","Não"))</x:f>
      </x:c>
    </x:row>
    <x:row r="44">
      <x:c r="A44" s="16" t="str"/>
      <x:c r="B44" s="16" t="str"/>
      <x:c r="C44" s="16" t="str"/>
      <x:c r="D44" s="28" t="str"/>
      <x:c r="E44" s="16" t="str"/>
      <x:c r="F44" s="16" t="str"/>
      <x:c r="G44" s="16" t="str"/>
      <x:c r="H44" s="16" t="str"/>
      <x:c r="I44" s="28" t="str"/>
      <x:c r="J44" s="28" t="str"/>
      <x:c r="K44" s="28" t="str"/>
      <x:c r="L44" s="16" t="str"/>
      <x:c r="M44" s="28" t="str">
        <x:f>IF(D44="","",D44+21)</x:f>
      </x:c>
      <x:c r="N44" s="16" t="str">
        <x:f>IF(M44="","",M44-TODAY())</x:f>
      </x:c>
      <x:c r="O44" s="16" t="str">
        <x:f>IF(A44="","",IF(OR(H44="Encerrado",H44="Descartado"),"Encerrado",IF(OR(H44="Sintomático",H44="Suspeito",H44="Confirmado",H44="Óbito"),"Requer avaliação/ação",IF(N44&lt;0,"Prazo concluído","Em monitoramento"))))</x:f>
      </x:c>
      <x:c r="P44" s="16" t="str">
        <x:f>IF(A44="","",IF(OR(E44="Manipulação do corpo",E44="Velório/funeral",E44="Sepultamento",E44="Limpeza/desinfecção"),"Pós-óbito",IF(OR(E44="Transporte do paciente",E44="Cuidado direto",E44="Contato com fluidos",E44="Serviço de saúde",E44="Laboratório"),"Exposição direta/assistencial","Exposição comunitária/outro")))</x:f>
      </x:c>
      <x:c r="Q44" s="16" t="str">
        <x:f>IF(A44="","",IF(P44="Pós-óbito","Sim","Não"))</x:f>
      </x:c>
    </x:row>
    <x:row r="45">
      <x:c r="A45" s="16" t="str"/>
      <x:c r="B45" s="16" t="str"/>
      <x:c r="C45" s="16" t="str"/>
      <x:c r="D45" s="28" t="str"/>
      <x:c r="E45" s="16" t="str"/>
      <x:c r="F45" s="16" t="str"/>
      <x:c r="G45" s="16" t="str"/>
      <x:c r="H45" s="16" t="str"/>
      <x:c r="I45" s="28" t="str"/>
      <x:c r="J45" s="28" t="str"/>
      <x:c r="K45" s="28" t="str"/>
      <x:c r="L45" s="16" t="str"/>
      <x:c r="M45" s="28" t="str">
        <x:f>IF(D45="","",D45+21)</x:f>
      </x:c>
      <x:c r="N45" s="16" t="str">
        <x:f>IF(M45="","",M45-TODAY())</x:f>
      </x:c>
      <x:c r="O45" s="16" t="str">
        <x:f>IF(A45="","",IF(OR(H45="Encerrado",H45="Descartado"),"Encerrado",IF(OR(H45="Sintomático",H45="Suspeito",H45="Confirmado",H45="Óbito"),"Requer avaliação/ação",IF(N45&lt;0,"Prazo concluído","Em monitoramento"))))</x:f>
      </x:c>
      <x:c r="P45" s="16" t="str">
        <x:f>IF(A45="","",IF(OR(E45="Manipulação do corpo",E45="Velório/funeral",E45="Sepultamento",E45="Limpeza/desinfecção"),"Pós-óbito",IF(OR(E45="Transporte do paciente",E45="Cuidado direto",E45="Contato com fluidos",E45="Serviço de saúde",E45="Laboratório"),"Exposição direta/assistencial","Exposição comunitária/outro")))</x:f>
      </x:c>
      <x:c r="Q45" s="16" t="str">
        <x:f>IF(A45="","",IF(P45="Pós-óbito","Sim","Não"))</x:f>
      </x:c>
    </x:row>
    <x:row r="46">
      <x:c r="A46" s="16" t="str"/>
      <x:c r="B46" s="16" t="str"/>
      <x:c r="C46" s="16" t="str"/>
      <x:c r="D46" s="28" t="str"/>
      <x:c r="E46" s="16" t="str"/>
      <x:c r="F46" s="16" t="str"/>
      <x:c r="G46" s="16" t="str"/>
      <x:c r="H46" s="16" t="str"/>
      <x:c r="I46" s="28" t="str"/>
      <x:c r="J46" s="28" t="str"/>
      <x:c r="K46" s="28" t="str"/>
      <x:c r="L46" s="16" t="str"/>
      <x:c r="M46" s="28" t="str">
        <x:f>IF(D46="","",D46+21)</x:f>
      </x:c>
      <x:c r="N46" s="16" t="str">
        <x:f>IF(M46="","",M46-TODAY())</x:f>
      </x:c>
      <x:c r="O46" s="16" t="str">
        <x:f>IF(A46="","",IF(OR(H46="Encerrado",H46="Descartado"),"Encerrado",IF(OR(H46="Sintomático",H46="Suspeito",H46="Confirmado",H46="Óbito"),"Requer avaliação/ação",IF(N46&lt;0,"Prazo concluído","Em monitoramento"))))</x:f>
      </x:c>
      <x:c r="P46" s="16" t="str">
        <x:f>IF(A46="","",IF(OR(E46="Manipulação do corpo",E46="Velório/funeral",E46="Sepultamento",E46="Limpeza/desinfecção"),"Pós-óbito",IF(OR(E46="Transporte do paciente",E46="Cuidado direto",E46="Contato com fluidos",E46="Serviço de saúde",E46="Laboratório"),"Exposição direta/assistencial","Exposição comunitária/outro")))</x:f>
      </x:c>
      <x:c r="Q46" s="16" t="str">
        <x:f>IF(A46="","",IF(P46="Pós-óbito","Sim","Não"))</x:f>
      </x:c>
    </x:row>
    <x:row r="47">
      <x:c r="A47" s="16" t="str"/>
      <x:c r="B47" s="16" t="str"/>
      <x:c r="C47" s="16" t="str"/>
      <x:c r="D47" s="28" t="str"/>
      <x:c r="E47" s="16" t="str"/>
      <x:c r="F47" s="16" t="str"/>
      <x:c r="G47" s="16" t="str"/>
      <x:c r="H47" s="16" t="str"/>
      <x:c r="I47" s="28" t="str"/>
      <x:c r="J47" s="28" t="str"/>
      <x:c r="K47" s="28" t="str"/>
      <x:c r="L47" s="16" t="str"/>
      <x:c r="M47" s="28" t="str">
        <x:f>IF(D47="","",D47+21)</x:f>
      </x:c>
      <x:c r="N47" s="16" t="str">
        <x:f>IF(M47="","",M47-TODAY())</x:f>
      </x:c>
      <x:c r="O47" s="16" t="str">
        <x:f>IF(A47="","",IF(OR(H47="Encerrado",H47="Descartado"),"Encerrado",IF(OR(H47="Sintomático",H47="Suspeito",H47="Confirmado",H47="Óbito"),"Requer avaliação/ação",IF(N47&lt;0,"Prazo concluído","Em monitoramento"))))</x:f>
      </x:c>
      <x:c r="P47" s="16" t="str">
        <x:f>IF(A47="","",IF(OR(E47="Manipulação do corpo",E47="Velório/funeral",E47="Sepultamento",E47="Limpeza/desinfecção"),"Pós-óbito",IF(OR(E47="Transporte do paciente",E47="Cuidado direto",E47="Contato com fluidos",E47="Serviço de saúde",E47="Laboratório"),"Exposição direta/assistencial","Exposição comunitária/outro")))</x:f>
      </x:c>
      <x:c r="Q47" s="16" t="str">
        <x:f>IF(A47="","",IF(P47="Pós-óbito","Sim","Não"))</x:f>
      </x:c>
    </x:row>
    <x:row r="48">
      <x:c r="A48" s="16" t="str"/>
      <x:c r="B48" s="16" t="str"/>
      <x:c r="C48" s="16" t="str"/>
      <x:c r="D48" s="28" t="str"/>
      <x:c r="E48" s="16" t="str"/>
      <x:c r="F48" s="16" t="str"/>
      <x:c r="G48" s="16" t="str"/>
      <x:c r="H48" s="16" t="str"/>
      <x:c r="I48" s="28" t="str"/>
      <x:c r="J48" s="28" t="str"/>
      <x:c r="K48" s="28" t="str"/>
      <x:c r="L48" s="16" t="str"/>
      <x:c r="M48" s="28" t="str">
        <x:f>IF(D48="","",D48+21)</x:f>
      </x:c>
      <x:c r="N48" s="16" t="str">
        <x:f>IF(M48="","",M48-TODAY())</x:f>
      </x:c>
      <x:c r="O48" s="16" t="str">
        <x:f>IF(A48="","",IF(OR(H48="Encerrado",H48="Descartado"),"Encerrado",IF(OR(H48="Sintomático",H48="Suspeito",H48="Confirmado",H48="Óbito"),"Requer avaliação/ação",IF(N48&lt;0,"Prazo concluído","Em monitoramento"))))</x:f>
      </x:c>
      <x:c r="P48" s="16" t="str">
        <x:f>IF(A48="","",IF(OR(E48="Manipulação do corpo",E48="Velório/funeral",E48="Sepultamento",E48="Limpeza/desinfecção"),"Pós-óbito",IF(OR(E48="Transporte do paciente",E48="Cuidado direto",E48="Contato com fluidos",E48="Serviço de saúde",E48="Laboratório"),"Exposição direta/assistencial","Exposição comunitária/outro")))</x:f>
      </x:c>
      <x:c r="Q48" s="16" t="str">
        <x:f>IF(A48="","",IF(P48="Pós-óbito","Sim","Não"))</x:f>
      </x:c>
    </x:row>
    <x:row r="49">
      <x:c r="A49" s="16" t="str"/>
      <x:c r="B49" s="16" t="str"/>
      <x:c r="C49" s="16" t="str"/>
      <x:c r="D49" s="28" t="str"/>
      <x:c r="E49" s="16" t="str"/>
      <x:c r="F49" s="16" t="str"/>
      <x:c r="G49" s="16" t="str"/>
      <x:c r="H49" s="16" t="str"/>
      <x:c r="I49" s="28" t="str"/>
      <x:c r="J49" s="28" t="str"/>
      <x:c r="K49" s="28" t="str"/>
      <x:c r="L49" s="16" t="str"/>
      <x:c r="M49" s="28" t="str">
        <x:f>IF(D49="","",D49+21)</x:f>
      </x:c>
      <x:c r="N49" s="16" t="str">
        <x:f>IF(M49="","",M49-TODAY())</x:f>
      </x:c>
      <x:c r="O49" s="16" t="str">
        <x:f>IF(A49="","",IF(OR(H49="Encerrado",H49="Descartado"),"Encerrado",IF(OR(H49="Sintomático",H49="Suspeito",H49="Confirmado",H49="Óbito"),"Requer avaliação/ação",IF(N49&lt;0,"Prazo concluído","Em monitoramento"))))</x:f>
      </x:c>
      <x:c r="P49" s="16" t="str">
        <x:f>IF(A49="","",IF(OR(E49="Manipulação do corpo",E49="Velório/funeral",E49="Sepultamento",E49="Limpeza/desinfecção"),"Pós-óbito",IF(OR(E49="Transporte do paciente",E49="Cuidado direto",E49="Contato com fluidos",E49="Serviço de saúde",E49="Laboratório"),"Exposição direta/assistencial","Exposição comunitária/outro")))</x:f>
      </x:c>
      <x:c r="Q49" s="16" t="str">
        <x:f>IF(A49="","",IF(P49="Pós-óbito","Sim","Não"))</x:f>
      </x:c>
    </x:row>
    <x:row r="50">
      <x:c r="A50" s="16" t="str"/>
      <x:c r="B50" s="16" t="str"/>
      <x:c r="C50" s="16" t="str"/>
      <x:c r="D50" s="28" t="str"/>
      <x:c r="E50" s="16" t="str"/>
      <x:c r="F50" s="16" t="str"/>
      <x:c r="G50" s="16" t="str"/>
      <x:c r="H50" s="16" t="str"/>
      <x:c r="I50" s="28" t="str"/>
      <x:c r="J50" s="28" t="str"/>
      <x:c r="K50" s="28" t="str"/>
      <x:c r="L50" s="16" t="str"/>
      <x:c r="M50" s="28" t="str">
        <x:f>IF(D50="","",D50+21)</x:f>
      </x:c>
      <x:c r="N50" s="16" t="str">
        <x:f>IF(M50="","",M50-TODAY())</x:f>
      </x:c>
      <x:c r="O50" s="16" t="str">
        <x:f>IF(A50="","",IF(OR(H50="Encerrado",H50="Descartado"),"Encerrado",IF(OR(H50="Sintomático",H50="Suspeito",H50="Confirmado",H50="Óbito"),"Requer avaliação/ação",IF(N50&lt;0,"Prazo concluído","Em monitoramento"))))</x:f>
      </x:c>
      <x:c r="P50" s="16" t="str">
        <x:f>IF(A50="","",IF(OR(E50="Manipulação do corpo",E50="Velório/funeral",E50="Sepultamento",E50="Limpeza/desinfecção"),"Pós-óbito",IF(OR(E50="Transporte do paciente",E50="Cuidado direto",E50="Contato com fluidos",E50="Serviço de saúde",E50="Laboratório"),"Exposição direta/assistencial","Exposição comunitária/outro")))</x:f>
      </x:c>
      <x:c r="Q50" s="16" t="str">
        <x:f>IF(A50="","",IF(P50="Pós-óbito","Sim","Não"))</x:f>
      </x:c>
    </x:row>
    <x:row r="51">
      <x:c r="A51" s="16" t="str"/>
      <x:c r="B51" s="16" t="str"/>
      <x:c r="C51" s="16" t="str"/>
      <x:c r="D51" s="28" t="str"/>
      <x:c r="E51" s="16" t="str"/>
      <x:c r="F51" s="16" t="str"/>
      <x:c r="G51" s="16" t="str"/>
      <x:c r="H51" s="16" t="str"/>
      <x:c r="I51" s="28" t="str"/>
      <x:c r="J51" s="28" t="str"/>
      <x:c r="K51" s="28" t="str"/>
      <x:c r="L51" s="16" t="str"/>
      <x:c r="M51" s="28" t="str">
        <x:f>IF(D51="","",D51+21)</x:f>
      </x:c>
      <x:c r="N51" s="16" t="str">
        <x:f>IF(M51="","",M51-TODAY())</x:f>
      </x:c>
      <x:c r="O51" s="16" t="str">
        <x:f>IF(A51="","",IF(OR(H51="Encerrado",H51="Descartado"),"Encerrado",IF(OR(H51="Sintomático",H51="Suspeito",H51="Confirmado",H51="Óbito"),"Requer avaliação/ação",IF(N51&lt;0,"Prazo concluído","Em monitoramento"))))</x:f>
      </x:c>
      <x:c r="P51" s="16" t="str">
        <x:f>IF(A51="","",IF(OR(E51="Manipulação do corpo",E51="Velório/funeral",E51="Sepultamento",E51="Limpeza/desinfecção"),"Pós-óbito",IF(OR(E51="Transporte do paciente",E51="Cuidado direto",E51="Contato com fluidos",E51="Serviço de saúde",E51="Laboratório"),"Exposição direta/assistencial","Exposição comunitária/outro")))</x:f>
      </x:c>
      <x:c r="Q51" s="16" t="str">
        <x:f>IF(A51="","",IF(P51="Pós-óbito","Sim","Não"))</x:f>
      </x:c>
    </x:row>
    <x:row r="52">
      <x:c r="A52" s="16" t="str"/>
      <x:c r="B52" s="16" t="str"/>
      <x:c r="C52" s="16" t="str"/>
      <x:c r="D52" s="28" t="str"/>
      <x:c r="E52" s="16" t="str"/>
      <x:c r="F52" s="16" t="str"/>
      <x:c r="G52" s="16" t="str"/>
      <x:c r="H52" s="16" t="str"/>
      <x:c r="I52" s="28" t="str"/>
      <x:c r="J52" s="28" t="str"/>
      <x:c r="K52" s="28" t="str"/>
      <x:c r="L52" s="16" t="str"/>
      <x:c r="M52" s="28" t="str">
        <x:f>IF(D52="","",D52+21)</x:f>
      </x:c>
      <x:c r="N52" s="16" t="str">
        <x:f>IF(M52="","",M52-TODAY())</x:f>
      </x:c>
      <x:c r="O52" s="16" t="str">
        <x:f>IF(A52="","",IF(OR(H52="Encerrado",H52="Descartado"),"Encerrado",IF(OR(H52="Sintomático",H52="Suspeito",H52="Confirmado",H52="Óbito"),"Requer avaliação/ação",IF(N52&lt;0,"Prazo concluído","Em monitoramento"))))</x:f>
      </x:c>
      <x:c r="P52" s="16" t="str">
        <x:f>IF(A52="","",IF(OR(E52="Manipulação do corpo",E52="Velório/funeral",E52="Sepultamento",E52="Limpeza/desinfecção"),"Pós-óbito",IF(OR(E52="Transporte do paciente",E52="Cuidado direto",E52="Contato com fluidos",E52="Serviço de saúde",E52="Laboratório"),"Exposição direta/assistencial","Exposição comunitária/outro")))</x:f>
      </x:c>
      <x:c r="Q52" s="16" t="str">
        <x:f>IF(A52="","",IF(P52="Pós-óbito","Sim","Não"))</x:f>
      </x:c>
    </x:row>
    <x:row r="53">
      <x:c r="A53" s="16" t="str"/>
      <x:c r="B53" s="16" t="str"/>
      <x:c r="C53" s="16" t="str"/>
      <x:c r="D53" s="28" t="str"/>
      <x:c r="E53" s="16" t="str"/>
      <x:c r="F53" s="16" t="str"/>
      <x:c r="G53" s="16" t="str"/>
      <x:c r="H53" s="16" t="str"/>
      <x:c r="I53" s="28" t="str"/>
      <x:c r="J53" s="28" t="str"/>
      <x:c r="K53" s="28" t="str"/>
      <x:c r="L53" s="16" t="str"/>
      <x:c r="M53" s="28" t="str">
        <x:f>IF(D53="","",D53+21)</x:f>
      </x:c>
      <x:c r="N53" s="16" t="str">
        <x:f>IF(M53="","",M53-TODAY())</x:f>
      </x:c>
      <x:c r="O53" s="16" t="str">
        <x:f>IF(A53="","",IF(OR(H53="Encerrado",H53="Descartado"),"Encerrado",IF(OR(H53="Sintomático",H53="Suspeito",H53="Confirmado",H53="Óbito"),"Requer avaliação/ação",IF(N53&lt;0,"Prazo concluído","Em monitoramento"))))</x:f>
      </x:c>
      <x:c r="P53" s="16" t="str">
        <x:f>IF(A53="","",IF(OR(E53="Manipulação do corpo",E53="Velório/funeral",E53="Sepultamento",E53="Limpeza/desinfecção"),"Pós-óbito",IF(OR(E53="Transporte do paciente",E53="Cuidado direto",E53="Contato com fluidos",E53="Serviço de saúde",E53="Laboratório"),"Exposição direta/assistencial","Exposição comunitária/outro")))</x:f>
      </x:c>
      <x:c r="Q53" s="16" t="str">
        <x:f>IF(A53="","",IF(P53="Pós-óbito","Sim","Não"))</x:f>
      </x:c>
    </x:row>
    <x:row r="54">
      <x:c r="A54" s="16" t="str"/>
      <x:c r="B54" s="16" t="str"/>
      <x:c r="C54" s="16" t="str"/>
      <x:c r="D54" s="28" t="str"/>
      <x:c r="E54" s="16" t="str"/>
      <x:c r="F54" s="16" t="str"/>
      <x:c r="G54" s="16" t="str"/>
      <x:c r="H54" s="16" t="str"/>
      <x:c r="I54" s="28" t="str"/>
      <x:c r="J54" s="28" t="str"/>
      <x:c r="K54" s="28" t="str"/>
      <x:c r="L54" s="16" t="str"/>
      <x:c r="M54" s="28" t="str">
        <x:f>IF(D54="","",D54+21)</x:f>
      </x:c>
      <x:c r="N54" s="16" t="str">
        <x:f>IF(M54="","",M54-TODAY())</x:f>
      </x:c>
      <x:c r="O54" s="16" t="str">
        <x:f>IF(A54="","",IF(OR(H54="Encerrado",H54="Descartado"),"Encerrado",IF(OR(H54="Sintomático",H54="Suspeito",H54="Confirmado",H54="Óbito"),"Requer avaliação/ação",IF(N54&lt;0,"Prazo concluído","Em monitoramento"))))</x:f>
      </x:c>
      <x:c r="P54" s="16" t="str">
        <x:f>IF(A54="","",IF(OR(E54="Manipulação do corpo",E54="Velório/funeral",E54="Sepultamento",E54="Limpeza/desinfecção"),"Pós-óbito",IF(OR(E54="Transporte do paciente",E54="Cuidado direto",E54="Contato com fluidos",E54="Serviço de saúde",E54="Laboratório"),"Exposição direta/assistencial","Exposição comunitária/outro")))</x:f>
      </x:c>
      <x:c r="Q54" s="16" t="str">
        <x:f>IF(A54="","",IF(P54="Pós-óbito","Sim","Não"))</x:f>
      </x:c>
    </x:row>
    <x:row r="55">
      <x:c r="A55" s="16" t="str"/>
      <x:c r="B55" s="16" t="str"/>
      <x:c r="C55" s="16" t="str"/>
      <x:c r="D55" s="28" t="str"/>
      <x:c r="E55" s="16" t="str"/>
      <x:c r="F55" s="16" t="str"/>
      <x:c r="G55" s="16" t="str"/>
      <x:c r="H55" s="16" t="str"/>
      <x:c r="I55" s="28" t="str"/>
      <x:c r="J55" s="28" t="str"/>
      <x:c r="K55" s="28" t="str"/>
      <x:c r="L55" s="16" t="str"/>
      <x:c r="M55" s="28" t="str">
        <x:f>IF(D55="","",D55+21)</x:f>
      </x:c>
      <x:c r="N55" s="16" t="str">
        <x:f>IF(M55="","",M55-TODAY())</x:f>
      </x:c>
      <x:c r="O55" s="16" t="str">
        <x:f>IF(A55="","",IF(OR(H55="Encerrado",H55="Descartado"),"Encerrado",IF(OR(H55="Sintomático",H55="Suspeito",H55="Confirmado",H55="Óbito"),"Requer avaliação/ação",IF(N55&lt;0,"Prazo concluído","Em monitoramento"))))</x:f>
      </x:c>
      <x:c r="P55" s="16" t="str">
        <x:f>IF(A55="","",IF(OR(E55="Manipulação do corpo",E55="Velório/funeral",E55="Sepultamento",E55="Limpeza/desinfecção"),"Pós-óbito",IF(OR(E55="Transporte do paciente",E55="Cuidado direto",E55="Contato com fluidos",E55="Serviço de saúde",E55="Laboratório"),"Exposição direta/assistencial","Exposição comunitária/outro")))</x:f>
      </x:c>
      <x:c r="Q55" s="16" t="str">
        <x:f>IF(A55="","",IF(P55="Pós-óbito","Sim","Não"))</x:f>
      </x:c>
    </x:row>
    <x:row r="56">
      <x:c r="A56" s="16" t="str"/>
      <x:c r="B56" s="16" t="str"/>
      <x:c r="C56" s="16" t="str"/>
      <x:c r="D56" s="28" t="str"/>
      <x:c r="E56" s="16" t="str"/>
      <x:c r="F56" s="16" t="str"/>
      <x:c r="G56" s="16" t="str"/>
      <x:c r="H56" s="16" t="str"/>
      <x:c r="I56" s="28" t="str"/>
      <x:c r="J56" s="28" t="str"/>
      <x:c r="K56" s="28" t="str"/>
      <x:c r="L56" s="16" t="str"/>
      <x:c r="M56" s="28" t="str">
        <x:f>IF(D56="","",D56+21)</x:f>
      </x:c>
      <x:c r="N56" s="16" t="str">
        <x:f>IF(M56="","",M56-TODAY())</x:f>
      </x:c>
      <x:c r="O56" s="16" t="str">
        <x:f>IF(A56="","",IF(OR(H56="Encerrado",H56="Descartado"),"Encerrado",IF(OR(H56="Sintomático",H56="Suspeito",H56="Confirmado",H56="Óbito"),"Requer avaliação/ação",IF(N56&lt;0,"Prazo concluído","Em monitoramento"))))</x:f>
      </x:c>
      <x:c r="P56" s="16" t="str">
        <x:f>IF(A56="","",IF(OR(E56="Manipulação do corpo",E56="Velório/funeral",E56="Sepultamento",E56="Limpeza/desinfecção"),"Pós-óbito",IF(OR(E56="Transporte do paciente",E56="Cuidado direto",E56="Contato com fluidos",E56="Serviço de saúde",E56="Laboratório"),"Exposição direta/assistencial","Exposição comunitária/outro")))</x:f>
      </x:c>
      <x:c r="Q56" s="16" t="str">
        <x:f>IF(A56="","",IF(P56="Pós-óbito","Sim","Não"))</x:f>
      </x:c>
    </x:row>
    <x:row r="57">
      <x:c r="A57" s="16" t="str"/>
      <x:c r="B57" s="16" t="str"/>
      <x:c r="C57" s="16" t="str"/>
      <x:c r="D57" s="28" t="str"/>
      <x:c r="E57" s="16" t="str"/>
      <x:c r="F57" s="16" t="str"/>
      <x:c r="G57" s="16" t="str"/>
      <x:c r="H57" s="16" t="str"/>
      <x:c r="I57" s="28" t="str"/>
      <x:c r="J57" s="28" t="str"/>
      <x:c r="K57" s="28" t="str"/>
      <x:c r="L57" s="16" t="str"/>
      <x:c r="M57" s="28" t="str">
        <x:f>IF(D57="","",D57+21)</x:f>
      </x:c>
      <x:c r="N57" s="16" t="str">
        <x:f>IF(M57="","",M57-TODAY())</x:f>
      </x:c>
      <x:c r="O57" s="16" t="str">
        <x:f>IF(A57="","",IF(OR(H57="Encerrado",H57="Descartado"),"Encerrado",IF(OR(H57="Sintomático",H57="Suspeito",H57="Confirmado",H57="Óbito"),"Requer avaliação/ação",IF(N57&lt;0,"Prazo concluído","Em monitoramento"))))</x:f>
      </x:c>
      <x:c r="P57" s="16" t="str">
        <x:f>IF(A57="","",IF(OR(E57="Manipulação do corpo",E57="Velório/funeral",E57="Sepultamento",E57="Limpeza/desinfecção"),"Pós-óbito",IF(OR(E57="Transporte do paciente",E57="Cuidado direto",E57="Contato com fluidos",E57="Serviço de saúde",E57="Laboratório"),"Exposição direta/assistencial","Exposição comunitária/outro")))</x:f>
      </x:c>
      <x:c r="Q57" s="16" t="str">
        <x:f>IF(A57="","",IF(P57="Pós-óbito","Sim","Não"))</x:f>
      </x:c>
    </x:row>
    <x:row r="58">
      <x:c r="A58" s="16" t="str"/>
      <x:c r="B58" s="16" t="str"/>
      <x:c r="C58" s="16" t="str"/>
      <x:c r="D58" s="28" t="str"/>
      <x:c r="E58" s="16" t="str"/>
      <x:c r="F58" s="16" t="str"/>
      <x:c r="G58" s="16" t="str"/>
      <x:c r="H58" s="16" t="str"/>
      <x:c r="I58" s="28" t="str"/>
      <x:c r="J58" s="28" t="str"/>
      <x:c r="K58" s="28" t="str"/>
      <x:c r="L58" s="16" t="str"/>
      <x:c r="M58" s="28" t="str">
        <x:f>IF(D58="","",D58+21)</x:f>
      </x:c>
      <x:c r="N58" s="16" t="str">
        <x:f>IF(M58="","",M58-TODAY())</x:f>
      </x:c>
      <x:c r="O58" s="16" t="str">
        <x:f>IF(A58="","",IF(OR(H58="Encerrado",H58="Descartado"),"Encerrado",IF(OR(H58="Sintomático",H58="Suspeito",H58="Confirmado",H58="Óbito"),"Requer avaliação/ação",IF(N58&lt;0,"Prazo concluído","Em monitoramento"))))</x:f>
      </x:c>
      <x:c r="P58" s="16" t="str">
        <x:f>IF(A58="","",IF(OR(E58="Manipulação do corpo",E58="Velório/funeral",E58="Sepultamento",E58="Limpeza/desinfecção"),"Pós-óbito",IF(OR(E58="Transporte do paciente",E58="Cuidado direto",E58="Contato com fluidos",E58="Serviço de saúde",E58="Laboratório"),"Exposição direta/assistencial","Exposição comunitária/outro")))</x:f>
      </x:c>
      <x:c r="Q58" s="16" t="str">
        <x:f>IF(A58="","",IF(P58="Pós-óbito","Sim","Não"))</x:f>
      </x:c>
    </x:row>
    <x:row r="59">
      <x:c r="A59" s="16" t="str"/>
      <x:c r="B59" s="16" t="str"/>
      <x:c r="C59" s="16" t="str"/>
      <x:c r="D59" s="28" t="str"/>
      <x:c r="E59" s="16" t="str"/>
      <x:c r="F59" s="16" t="str"/>
      <x:c r="G59" s="16" t="str"/>
      <x:c r="H59" s="16" t="str"/>
      <x:c r="I59" s="28" t="str"/>
      <x:c r="J59" s="28" t="str"/>
      <x:c r="K59" s="28" t="str"/>
      <x:c r="L59" s="16" t="str"/>
      <x:c r="M59" s="28" t="str">
        <x:f>IF(D59="","",D59+21)</x:f>
      </x:c>
      <x:c r="N59" s="16" t="str">
        <x:f>IF(M59="","",M59-TODAY())</x:f>
      </x:c>
      <x:c r="O59" s="16" t="str">
        <x:f>IF(A59="","",IF(OR(H59="Encerrado",H59="Descartado"),"Encerrado",IF(OR(H59="Sintomático",H59="Suspeito",H59="Confirmado",H59="Óbito"),"Requer avaliação/ação",IF(N59&lt;0,"Prazo concluído","Em monitoramento"))))</x:f>
      </x:c>
      <x:c r="P59" s="16" t="str">
        <x:f>IF(A59="","",IF(OR(E59="Manipulação do corpo",E59="Velório/funeral",E59="Sepultamento",E59="Limpeza/desinfecção"),"Pós-óbito",IF(OR(E59="Transporte do paciente",E59="Cuidado direto",E59="Contato com fluidos",E59="Serviço de saúde",E59="Laboratório"),"Exposição direta/assistencial","Exposição comunitária/outro")))</x:f>
      </x:c>
      <x:c r="Q59" s="16" t="str">
        <x:f>IF(A59="","",IF(P59="Pós-óbito","Sim","Não"))</x:f>
      </x:c>
    </x:row>
    <x:row r="60">
      <x:c r="A60" s="16" t="str"/>
      <x:c r="B60" s="16" t="str"/>
      <x:c r="C60" s="16" t="str"/>
      <x:c r="D60" s="28" t="str"/>
      <x:c r="E60" s="16" t="str"/>
      <x:c r="F60" s="16" t="str"/>
      <x:c r="G60" s="16" t="str"/>
      <x:c r="H60" s="16" t="str"/>
      <x:c r="I60" s="28" t="str"/>
      <x:c r="J60" s="28" t="str"/>
      <x:c r="K60" s="28" t="str"/>
      <x:c r="L60" s="16" t="str"/>
      <x:c r="M60" s="28" t="str">
        <x:f>IF(D60="","",D60+21)</x:f>
      </x:c>
      <x:c r="N60" s="16" t="str">
        <x:f>IF(M60="","",M60-TODAY())</x:f>
      </x:c>
      <x:c r="O60" s="16" t="str">
        <x:f>IF(A60="","",IF(OR(H60="Encerrado",H60="Descartado"),"Encerrado",IF(OR(H60="Sintomático",H60="Suspeito",H60="Confirmado",H60="Óbito"),"Requer avaliação/ação",IF(N60&lt;0,"Prazo concluído","Em monitoramento"))))</x:f>
      </x:c>
      <x:c r="P60" s="16" t="str">
        <x:f>IF(A60="","",IF(OR(E60="Manipulação do corpo",E60="Velório/funeral",E60="Sepultamento",E60="Limpeza/desinfecção"),"Pós-óbito",IF(OR(E60="Transporte do paciente",E60="Cuidado direto",E60="Contato com fluidos",E60="Serviço de saúde",E60="Laboratório"),"Exposição direta/assistencial","Exposição comunitária/outro")))</x:f>
      </x:c>
      <x:c r="Q60" s="16" t="str">
        <x:f>IF(A60="","",IF(P60="Pós-óbito","Sim","Não"))</x:f>
      </x:c>
    </x:row>
    <x:row r="61">
      <x:c r="A61" s="16" t="str"/>
      <x:c r="B61" s="16" t="str"/>
      <x:c r="C61" s="16" t="str"/>
      <x:c r="D61" s="28" t="str"/>
      <x:c r="E61" s="16" t="str"/>
      <x:c r="F61" s="16" t="str"/>
      <x:c r="G61" s="16" t="str"/>
      <x:c r="H61" s="16" t="str"/>
      <x:c r="I61" s="28" t="str"/>
      <x:c r="J61" s="28" t="str"/>
      <x:c r="K61" s="28" t="str"/>
      <x:c r="L61" s="16" t="str"/>
      <x:c r="M61" s="28" t="str">
        <x:f>IF(D61="","",D61+21)</x:f>
      </x:c>
      <x:c r="N61" s="16" t="str">
        <x:f>IF(M61="","",M61-TODAY())</x:f>
      </x:c>
      <x:c r="O61" s="16" t="str">
        <x:f>IF(A61="","",IF(OR(H61="Encerrado",H61="Descartado"),"Encerrado",IF(OR(H61="Sintomático",H61="Suspeito",H61="Confirmado",H61="Óbito"),"Requer avaliação/ação",IF(N61&lt;0,"Prazo concluído","Em monitoramento"))))</x:f>
      </x:c>
      <x:c r="P61" s="16" t="str">
        <x:f>IF(A61="","",IF(OR(E61="Manipulação do corpo",E61="Velório/funeral",E61="Sepultamento",E61="Limpeza/desinfecção"),"Pós-óbito",IF(OR(E61="Transporte do paciente",E61="Cuidado direto",E61="Contato com fluidos",E61="Serviço de saúde",E61="Laboratório"),"Exposição direta/assistencial","Exposição comunitária/outro")))</x:f>
      </x:c>
      <x:c r="Q61" s="16" t="str">
        <x:f>IF(A61="","",IF(P61="Pós-óbito","Sim","Não"))</x:f>
      </x:c>
    </x:row>
    <x:row r="62">
      <x:c r="A62" s="16" t="str"/>
      <x:c r="B62" s="16" t="str"/>
      <x:c r="C62" s="16" t="str"/>
      <x:c r="D62" s="28" t="str"/>
      <x:c r="E62" s="16" t="str"/>
      <x:c r="F62" s="16" t="str"/>
      <x:c r="G62" s="16" t="str"/>
      <x:c r="H62" s="16" t="str"/>
      <x:c r="I62" s="28" t="str"/>
      <x:c r="J62" s="28" t="str"/>
      <x:c r="K62" s="28" t="str"/>
      <x:c r="L62" s="16" t="str"/>
      <x:c r="M62" s="28" t="str">
        <x:f>IF(D62="","",D62+21)</x:f>
      </x:c>
      <x:c r="N62" s="16" t="str">
        <x:f>IF(M62="","",M62-TODAY())</x:f>
      </x:c>
      <x:c r="O62" s="16" t="str">
        <x:f>IF(A62="","",IF(OR(H62="Encerrado",H62="Descartado"),"Encerrado",IF(OR(H62="Sintomático",H62="Suspeito",H62="Confirmado",H62="Óbito"),"Requer avaliação/ação",IF(N62&lt;0,"Prazo concluído","Em monitoramento"))))</x:f>
      </x:c>
      <x:c r="P62" s="16" t="str">
        <x:f>IF(A62="","",IF(OR(E62="Manipulação do corpo",E62="Velório/funeral",E62="Sepultamento",E62="Limpeza/desinfecção"),"Pós-óbito",IF(OR(E62="Transporte do paciente",E62="Cuidado direto",E62="Contato com fluidos",E62="Serviço de saúde",E62="Laboratório"),"Exposição direta/assistencial","Exposição comunitária/outro")))</x:f>
      </x:c>
      <x:c r="Q62" s="16" t="str">
        <x:f>IF(A62="","",IF(P62="Pós-óbito","Sim","Não"))</x:f>
      </x:c>
    </x:row>
    <x:row r="63">
      <x:c r="A63" s="16" t="str"/>
      <x:c r="B63" s="16" t="str"/>
      <x:c r="C63" s="16" t="str"/>
      <x:c r="D63" s="28" t="str"/>
      <x:c r="E63" s="16" t="str"/>
      <x:c r="F63" s="16" t="str"/>
      <x:c r="G63" s="16" t="str"/>
      <x:c r="H63" s="16" t="str"/>
      <x:c r="I63" s="28" t="str"/>
      <x:c r="J63" s="28" t="str"/>
      <x:c r="K63" s="28" t="str"/>
      <x:c r="L63" s="16" t="str"/>
      <x:c r="M63" s="28" t="str">
        <x:f>IF(D63="","",D63+21)</x:f>
      </x:c>
      <x:c r="N63" s="16" t="str">
        <x:f>IF(M63="","",M63-TODAY())</x:f>
      </x:c>
      <x:c r="O63" s="16" t="str">
        <x:f>IF(A63="","",IF(OR(H63="Encerrado",H63="Descartado"),"Encerrado",IF(OR(H63="Sintomático",H63="Suspeito",H63="Confirmado",H63="Óbito"),"Requer avaliação/ação",IF(N63&lt;0,"Prazo concluído","Em monitoramento"))))</x:f>
      </x:c>
      <x:c r="P63" s="16" t="str">
        <x:f>IF(A63="","",IF(OR(E63="Manipulação do corpo",E63="Velório/funeral",E63="Sepultamento",E63="Limpeza/desinfecção"),"Pós-óbito",IF(OR(E63="Transporte do paciente",E63="Cuidado direto",E63="Contato com fluidos",E63="Serviço de saúde",E63="Laboratório"),"Exposição direta/assistencial","Exposição comunitária/outro")))</x:f>
      </x:c>
      <x:c r="Q63" s="16" t="str">
        <x:f>IF(A63="","",IF(P63="Pós-óbito","Sim","Não"))</x:f>
      </x:c>
    </x:row>
    <x:row r="64">
      <x:c r="A64" s="16" t="str"/>
      <x:c r="B64" s="16" t="str"/>
      <x:c r="C64" s="16" t="str"/>
      <x:c r="D64" s="28" t="str"/>
      <x:c r="E64" s="16" t="str"/>
      <x:c r="F64" s="16" t="str"/>
      <x:c r="G64" s="16" t="str"/>
      <x:c r="H64" s="16" t="str"/>
      <x:c r="I64" s="28" t="str"/>
      <x:c r="J64" s="28" t="str"/>
      <x:c r="K64" s="28" t="str"/>
      <x:c r="L64" s="16" t="str"/>
      <x:c r="M64" s="28" t="str">
        <x:f>IF(D64="","",D64+21)</x:f>
      </x:c>
      <x:c r="N64" s="16" t="str">
        <x:f>IF(M64="","",M64-TODAY())</x:f>
      </x:c>
      <x:c r="O64" s="16" t="str">
        <x:f>IF(A64="","",IF(OR(H64="Encerrado",H64="Descartado"),"Encerrado",IF(OR(H64="Sintomático",H64="Suspeito",H64="Confirmado",H64="Óbito"),"Requer avaliação/ação",IF(N64&lt;0,"Prazo concluído","Em monitoramento"))))</x:f>
      </x:c>
      <x:c r="P64" s="16" t="str">
        <x:f>IF(A64="","",IF(OR(E64="Manipulação do corpo",E64="Velório/funeral",E64="Sepultamento",E64="Limpeza/desinfecção"),"Pós-óbito",IF(OR(E64="Transporte do paciente",E64="Cuidado direto",E64="Contato com fluidos",E64="Serviço de saúde",E64="Laboratório"),"Exposição direta/assistencial","Exposição comunitária/outro")))</x:f>
      </x:c>
      <x:c r="Q64" s="16" t="str">
        <x:f>IF(A64="","",IF(P64="Pós-óbito","Sim","Não"))</x:f>
      </x:c>
    </x:row>
    <x:row r="65">
      <x:c r="A65" s="16" t="str"/>
      <x:c r="B65" s="16" t="str"/>
      <x:c r="C65" s="16" t="str"/>
      <x:c r="D65" s="28" t="str"/>
      <x:c r="E65" s="16" t="str"/>
      <x:c r="F65" s="16" t="str"/>
      <x:c r="G65" s="16" t="str"/>
      <x:c r="H65" s="16" t="str"/>
      <x:c r="I65" s="28" t="str"/>
      <x:c r="J65" s="28" t="str"/>
      <x:c r="K65" s="28" t="str"/>
      <x:c r="L65" s="16" t="str"/>
      <x:c r="M65" s="28" t="str">
        <x:f>IF(D65="","",D65+21)</x:f>
      </x:c>
      <x:c r="N65" s="16" t="str">
        <x:f>IF(M65="","",M65-TODAY())</x:f>
      </x:c>
      <x:c r="O65" s="16" t="str">
        <x:f>IF(A65="","",IF(OR(H65="Encerrado",H65="Descartado"),"Encerrado",IF(OR(H65="Sintomático",H65="Suspeito",H65="Confirmado",H65="Óbito"),"Requer avaliação/ação",IF(N65&lt;0,"Prazo concluído","Em monitoramento"))))</x:f>
      </x:c>
      <x:c r="P65" s="16" t="str">
        <x:f>IF(A65="","",IF(OR(E65="Manipulação do corpo",E65="Velório/funeral",E65="Sepultamento",E65="Limpeza/desinfecção"),"Pós-óbito",IF(OR(E65="Transporte do paciente",E65="Cuidado direto",E65="Contato com fluidos",E65="Serviço de saúde",E65="Laboratório"),"Exposição direta/assistencial","Exposição comunitária/outro")))</x:f>
      </x:c>
      <x:c r="Q65" s="16" t="str">
        <x:f>IF(A65="","",IF(P65="Pós-óbito","Sim","Não"))</x:f>
      </x:c>
    </x:row>
    <x:row r="66">
      <x:c r="A66" s="16" t="str"/>
      <x:c r="B66" s="16" t="str"/>
      <x:c r="C66" s="16" t="str"/>
      <x:c r="D66" s="28" t="str"/>
      <x:c r="E66" s="16" t="str"/>
      <x:c r="F66" s="16" t="str"/>
      <x:c r="G66" s="16" t="str"/>
      <x:c r="H66" s="16" t="str"/>
      <x:c r="I66" s="28" t="str"/>
      <x:c r="J66" s="28" t="str"/>
      <x:c r="K66" s="28" t="str"/>
      <x:c r="L66" s="16" t="str"/>
      <x:c r="M66" s="28" t="str">
        <x:f>IF(D66="","",D66+21)</x:f>
      </x:c>
      <x:c r="N66" s="16" t="str">
        <x:f>IF(M66="","",M66-TODAY())</x:f>
      </x:c>
      <x:c r="O66" s="16" t="str">
        <x:f>IF(A66="","",IF(OR(H66="Encerrado",H66="Descartado"),"Encerrado",IF(OR(H66="Sintomático",H66="Suspeito",H66="Confirmado",H66="Óbito"),"Requer avaliação/ação",IF(N66&lt;0,"Prazo concluído","Em monitoramento"))))</x:f>
      </x:c>
      <x:c r="P66" s="16" t="str">
        <x:f>IF(A66="","",IF(OR(E66="Manipulação do corpo",E66="Velório/funeral",E66="Sepultamento",E66="Limpeza/desinfecção"),"Pós-óbito",IF(OR(E66="Transporte do paciente",E66="Cuidado direto",E66="Contato com fluidos",E66="Serviço de saúde",E66="Laboratório"),"Exposição direta/assistencial","Exposição comunitária/outro")))</x:f>
      </x:c>
      <x:c r="Q66" s="16" t="str">
        <x:f>IF(A66="","",IF(P66="Pós-óbito","Sim","Não"))</x:f>
      </x:c>
    </x:row>
    <x:row r="67">
      <x:c r="A67" s="16" t="str"/>
      <x:c r="B67" s="16" t="str"/>
      <x:c r="C67" s="16" t="str"/>
      <x:c r="D67" s="28" t="str"/>
      <x:c r="E67" s="16" t="str"/>
      <x:c r="F67" s="16" t="str"/>
      <x:c r="G67" s="16" t="str"/>
      <x:c r="H67" s="16" t="str"/>
      <x:c r="I67" s="28" t="str"/>
      <x:c r="J67" s="28" t="str"/>
      <x:c r="K67" s="28" t="str"/>
      <x:c r="L67" s="16" t="str"/>
      <x:c r="M67" s="28" t="str">
        <x:f>IF(D67="","",D67+21)</x:f>
      </x:c>
      <x:c r="N67" s="16" t="str">
        <x:f>IF(M67="","",M67-TODAY())</x:f>
      </x:c>
      <x:c r="O67" s="16" t="str">
        <x:f>IF(A67="","",IF(OR(H67="Encerrado",H67="Descartado"),"Encerrado",IF(OR(H67="Sintomático",H67="Suspeito",H67="Confirmado",H67="Óbito"),"Requer avaliação/ação",IF(N67&lt;0,"Prazo concluído","Em monitoramento"))))</x:f>
      </x:c>
      <x:c r="P67" s="16" t="str">
        <x:f>IF(A67="","",IF(OR(E67="Manipulação do corpo",E67="Velório/funeral",E67="Sepultamento",E67="Limpeza/desinfecção"),"Pós-óbito",IF(OR(E67="Transporte do paciente",E67="Cuidado direto",E67="Contato com fluidos",E67="Serviço de saúde",E67="Laboratório"),"Exposição direta/assistencial","Exposição comunitária/outro")))</x:f>
      </x:c>
      <x:c r="Q67" s="16" t="str">
        <x:f>IF(A67="","",IF(P67="Pós-óbito","Sim","Não"))</x:f>
      </x:c>
    </x:row>
    <x:row r="68">
      <x:c r="A68" s="16" t="str"/>
      <x:c r="B68" s="16" t="str"/>
      <x:c r="C68" s="16" t="str"/>
      <x:c r="D68" s="28" t="str"/>
      <x:c r="E68" s="16" t="str"/>
      <x:c r="F68" s="16" t="str"/>
      <x:c r="G68" s="16" t="str"/>
      <x:c r="H68" s="16" t="str"/>
      <x:c r="I68" s="28" t="str"/>
      <x:c r="J68" s="28" t="str"/>
      <x:c r="K68" s="28" t="str"/>
      <x:c r="L68" s="16" t="str"/>
      <x:c r="M68" s="28" t="str">
        <x:f>IF(D68="","",D68+21)</x:f>
      </x:c>
      <x:c r="N68" s="16" t="str">
        <x:f>IF(M68="","",M68-TODAY())</x:f>
      </x:c>
      <x:c r="O68" s="16" t="str">
        <x:f>IF(A68="","",IF(OR(H68="Encerrado",H68="Descartado"),"Encerrado",IF(OR(H68="Sintomático",H68="Suspeito",H68="Confirmado",H68="Óbito"),"Requer avaliação/ação",IF(N68&lt;0,"Prazo concluído","Em monitoramento"))))</x:f>
      </x:c>
      <x:c r="P68" s="16" t="str">
        <x:f>IF(A68="","",IF(OR(E68="Manipulação do corpo",E68="Velório/funeral",E68="Sepultamento",E68="Limpeza/desinfecção"),"Pós-óbito",IF(OR(E68="Transporte do paciente",E68="Cuidado direto",E68="Contato com fluidos",E68="Serviço de saúde",E68="Laboratório"),"Exposição direta/assistencial","Exposição comunitária/outro")))</x:f>
      </x:c>
      <x:c r="Q68" s="16" t="str">
        <x:f>IF(A68="","",IF(P68="Pós-óbito","Sim","Não"))</x:f>
      </x:c>
    </x:row>
    <x:row r="69">
      <x:c r="A69" s="16" t="str"/>
      <x:c r="B69" s="16" t="str"/>
      <x:c r="C69" s="16" t="str"/>
      <x:c r="D69" s="28" t="str"/>
      <x:c r="E69" s="16" t="str"/>
      <x:c r="F69" s="16" t="str"/>
      <x:c r="G69" s="16" t="str"/>
      <x:c r="H69" s="16" t="str"/>
      <x:c r="I69" s="28" t="str"/>
      <x:c r="J69" s="28" t="str"/>
      <x:c r="K69" s="28" t="str"/>
      <x:c r="L69" s="16" t="str"/>
      <x:c r="M69" s="28" t="str">
        <x:f>IF(D69="","",D69+21)</x:f>
      </x:c>
      <x:c r="N69" s="16" t="str">
        <x:f>IF(M69="","",M69-TODAY())</x:f>
      </x:c>
      <x:c r="O69" s="16" t="str">
        <x:f>IF(A69="","",IF(OR(H69="Encerrado",H69="Descartado"),"Encerrado",IF(OR(H69="Sintomático",H69="Suspeito",H69="Confirmado",H69="Óbito"),"Requer avaliação/ação",IF(N69&lt;0,"Prazo concluído","Em monitoramento"))))</x:f>
      </x:c>
      <x:c r="P69" s="16" t="str">
        <x:f>IF(A69="","",IF(OR(E69="Manipulação do corpo",E69="Velório/funeral",E69="Sepultamento",E69="Limpeza/desinfecção"),"Pós-óbito",IF(OR(E69="Transporte do paciente",E69="Cuidado direto",E69="Contato com fluidos",E69="Serviço de saúde",E69="Laboratório"),"Exposição direta/assistencial","Exposição comunitária/outro")))</x:f>
      </x:c>
      <x:c r="Q69" s="16" t="str">
        <x:f>IF(A69="","",IF(P69="Pós-óbito","Sim","Não"))</x:f>
      </x:c>
    </x:row>
    <x:row r="70">
      <x:c r="A70" s="16" t="str"/>
      <x:c r="B70" s="16" t="str"/>
      <x:c r="C70" s="16" t="str"/>
      <x:c r="D70" s="28" t="str"/>
      <x:c r="E70" s="16" t="str"/>
      <x:c r="F70" s="16" t="str"/>
      <x:c r="G70" s="16" t="str"/>
      <x:c r="H70" s="16" t="str"/>
      <x:c r="I70" s="28" t="str"/>
      <x:c r="J70" s="28" t="str"/>
      <x:c r="K70" s="28" t="str"/>
      <x:c r="L70" s="16" t="str"/>
      <x:c r="M70" s="28" t="str">
        <x:f>IF(D70="","",D70+21)</x:f>
      </x:c>
      <x:c r="N70" s="16" t="str">
        <x:f>IF(M70="","",M70-TODAY())</x:f>
      </x:c>
      <x:c r="O70" s="16" t="str">
        <x:f>IF(A70="","",IF(OR(H70="Encerrado",H70="Descartado"),"Encerrado",IF(OR(H70="Sintomático",H70="Suspeito",H70="Confirmado",H70="Óbito"),"Requer avaliação/ação",IF(N70&lt;0,"Prazo concluído","Em monitoramento"))))</x:f>
      </x:c>
      <x:c r="P70" s="16" t="str">
        <x:f>IF(A70="","",IF(OR(E70="Manipulação do corpo",E70="Velório/funeral",E70="Sepultamento",E70="Limpeza/desinfecção"),"Pós-óbito",IF(OR(E70="Transporte do paciente",E70="Cuidado direto",E70="Contato com fluidos",E70="Serviço de saúde",E70="Laboratório"),"Exposição direta/assistencial","Exposição comunitária/outro")))</x:f>
      </x:c>
      <x:c r="Q70" s="16" t="str">
        <x:f>IF(A70="","",IF(P70="Pós-óbito","Sim","Não"))</x:f>
      </x:c>
    </x:row>
    <x:row r="71">
      <x:c r="A71" s="16" t="str"/>
      <x:c r="B71" s="16" t="str"/>
      <x:c r="C71" s="16" t="str"/>
      <x:c r="D71" s="28" t="str"/>
      <x:c r="E71" s="16" t="str"/>
      <x:c r="F71" s="16" t="str"/>
      <x:c r="G71" s="16" t="str"/>
      <x:c r="H71" s="16" t="str"/>
      <x:c r="I71" s="28" t="str"/>
      <x:c r="J71" s="28" t="str"/>
      <x:c r="K71" s="28" t="str"/>
      <x:c r="L71" s="16" t="str"/>
      <x:c r="M71" s="28" t="str">
        <x:f>IF(D71="","",D71+21)</x:f>
      </x:c>
      <x:c r="N71" s="16" t="str">
        <x:f>IF(M71="","",M71-TODAY())</x:f>
      </x:c>
      <x:c r="O71" s="16" t="str">
        <x:f>IF(A71="","",IF(OR(H71="Encerrado",H71="Descartado"),"Encerrado",IF(OR(H71="Sintomático",H71="Suspeito",H71="Confirmado",H71="Óbito"),"Requer avaliação/ação",IF(N71&lt;0,"Prazo concluído","Em monitoramento"))))</x:f>
      </x:c>
      <x:c r="P71" s="16" t="str">
        <x:f>IF(A71="","",IF(OR(E71="Manipulação do corpo",E71="Velório/funeral",E71="Sepultamento",E71="Limpeza/desinfecção"),"Pós-óbito",IF(OR(E71="Transporte do paciente",E71="Cuidado direto",E71="Contato com fluidos",E71="Serviço de saúde",E71="Laboratório"),"Exposição direta/assistencial","Exposição comunitária/outro")))</x:f>
      </x:c>
      <x:c r="Q71" s="16" t="str">
        <x:f>IF(A71="","",IF(P71="Pós-óbito","Sim","Não"))</x:f>
      </x:c>
    </x:row>
    <x:row r="72">
      <x:c r="A72" s="16" t="str"/>
      <x:c r="B72" s="16" t="str"/>
      <x:c r="C72" s="16" t="str"/>
      <x:c r="D72" s="28" t="str"/>
      <x:c r="E72" s="16" t="str"/>
      <x:c r="F72" s="16" t="str"/>
      <x:c r="G72" s="16" t="str"/>
      <x:c r="H72" s="16" t="str"/>
      <x:c r="I72" s="28" t="str"/>
      <x:c r="J72" s="28" t="str"/>
      <x:c r="K72" s="28" t="str"/>
      <x:c r="L72" s="16" t="str"/>
      <x:c r="M72" s="28" t="str">
        <x:f>IF(D72="","",D72+21)</x:f>
      </x:c>
      <x:c r="N72" s="16" t="str">
        <x:f>IF(M72="","",M72-TODAY())</x:f>
      </x:c>
      <x:c r="O72" s="16" t="str">
        <x:f>IF(A72="","",IF(OR(H72="Encerrado",H72="Descartado"),"Encerrado",IF(OR(H72="Sintomático",H72="Suspeito",H72="Confirmado",H72="Óbito"),"Requer avaliação/ação",IF(N72&lt;0,"Prazo concluído","Em monitoramento"))))</x:f>
      </x:c>
      <x:c r="P72" s="16" t="str">
        <x:f>IF(A72="","",IF(OR(E72="Manipulação do corpo",E72="Velório/funeral",E72="Sepultamento",E72="Limpeza/desinfecção"),"Pós-óbito",IF(OR(E72="Transporte do paciente",E72="Cuidado direto",E72="Contato com fluidos",E72="Serviço de saúde",E72="Laboratório"),"Exposição direta/assistencial","Exposição comunitária/outro")))</x:f>
      </x:c>
      <x:c r="Q72" s="16" t="str">
        <x:f>IF(A72="","",IF(P72="Pós-óbito","Sim","Não"))</x:f>
      </x:c>
    </x:row>
    <x:row r="73">
      <x:c r="A73" s="16" t="str"/>
      <x:c r="B73" s="16" t="str"/>
      <x:c r="C73" s="16" t="str"/>
      <x:c r="D73" s="28" t="str"/>
      <x:c r="E73" s="16" t="str"/>
      <x:c r="F73" s="16" t="str"/>
      <x:c r="G73" s="16" t="str"/>
      <x:c r="H73" s="16" t="str"/>
      <x:c r="I73" s="28" t="str"/>
      <x:c r="J73" s="28" t="str"/>
      <x:c r="K73" s="28" t="str"/>
      <x:c r="L73" s="16" t="str"/>
      <x:c r="M73" s="28" t="str">
        <x:f>IF(D73="","",D73+21)</x:f>
      </x:c>
      <x:c r="N73" s="16" t="str">
        <x:f>IF(M73="","",M73-TODAY())</x:f>
      </x:c>
      <x:c r="O73" s="16" t="str">
        <x:f>IF(A73="","",IF(OR(H73="Encerrado",H73="Descartado"),"Encerrado",IF(OR(H73="Sintomático",H73="Suspeito",H73="Confirmado",H73="Óbito"),"Requer avaliação/ação",IF(N73&lt;0,"Prazo concluído","Em monitoramento"))))</x:f>
      </x:c>
      <x:c r="P73" s="16" t="str">
        <x:f>IF(A73="","",IF(OR(E73="Manipulação do corpo",E73="Velório/funeral",E73="Sepultamento",E73="Limpeza/desinfecção"),"Pós-óbito",IF(OR(E73="Transporte do paciente",E73="Cuidado direto",E73="Contato com fluidos",E73="Serviço de saúde",E73="Laboratório"),"Exposição direta/assistencial","Exposição comunitária/outro")))</x:f>
      </x:c>
      <x:c r="Q73" s="16" t="str">
        <x:f>IF(A73="","",IF(P73="Pós-óbito","Sim","Não"))</x:f>
      </x:c>
    </x:row>
    <x:row r="74">
      <x:c r="A74" s="16" t="str"/>
      <x:c r="B74" s="16" t="str"/>
      <x:c r="C74" s="16" t="str"/>
      <x:c r="D74" s="28" t="str"/>
      <x:c r="E74" s="16" t="str"/>
      <x:c r="F74" s="16" t="str"/>
      <x:c r="G74" s="16" t="str"/>
      <x:c r="H74" s="16" t="str"/>
      <x:c r="I74" s="28" t="str"/>
      <x:c r="J74" s="28" t="str"/>
      <x:c r="K74" s="28" t="str"/>
      <x:c r="L74" s="16" t="str"/>
      <x:c r="M74" s="28" t="str">
        <x:f>IF(D74="","",D74+21)</x:f>
      </x:c>
      <x:c r="N74" s="16" t="str">
        <x:f>IF(M74="","",M74-TODAY())</x:f>
      </x:c>
      <x:c r="O74" s="16" t="str">
        <x:f>IF(A74="","",IF(OR(H74="Encerrado",H74="Descartado"),"Encerrado",IF(OR(H74="Sintomático",H74="Suspeito",H74="Confirmado",H74="Óbito"),"Requer avaliação/ação",IF(N74&lt;0,"Prazo concluído","Em monitoramento"))))</x:f>
      </x:c>
      <x:c r="P74" s="16" t="str">
        <x:f>IF(A74="","",IF(OR(E74="Manipulação do corpo",E74="Velório/funeral",E74="Sepultamento",E74="Limpeza/desinfecção"),"Pós-óbito",IF(OR(E74="Transporte do paciente",E74="Cuidado direto",E74="Contato com fluidos",E74="Serviço de saúde",E74="Laboratório"),"Exposição direta/assistencial","Exposição comunitária/outro")))</x:f>
      </x:c>
      <x:c r="Q74" s="16" t="str">
        <x:f>IF(A74="","",IF(P74="Pós-óbito","Sim","Não"))</x:f>
      </x:c>
    </x:row>
    <x:row r="75">
      <x:c r="A75" s="16" t="str"/>
      <x:c r="B75" s="16" t="str"/>
      <x:c r="C75" s="16" t="str"/>
      <x:c r="D75" s="28" t="str"/>
      <x:c r="E75" s="16" t="str"/>
      <x:c r="F75" s="16" t="str"/>
      <x:c r="G75" s="16" t="str"/>
      <x:c r="H75" s="16" t="str"/>
      <x:c r="I75" s="28" t="str"/>
      <x:c r="J75" s="28" t="str"/>
      <x:c r="K75" s="28" t="str"/>
      <x:c r="L75" s="16" t="str"/>
      <x:c r="M75" s="28" t="str">
        <x:f>IF(D75="","",D75+21)</x:f>
      </x:c>
      <x:c r="N75" s="16" t="str">
        <x:f>IF(M75="","",M75-TODAY())</x:f>
      </x:c>
      <x:c r="O75" s="16" t="str">
        <x:f>IF(A75="","",IF(OR(H75="Encerrado",H75="Descartado"),"Encerrado",IF(OR(H75="Sintomático",H75="Suspeito",H75="Confirmado",H75="Óbito"),"Requer avaliação/ação",IF(N75&lt;0,"Prazo concluído","Em monitoramento"))))</x:f>
      </x:c>
      <x:c r="P75" s="16" t="str">
        <x:f>IF(A75="","",IF(OR(E75="Manipulação do corpo",E75="Velório/funeral",E75="Sepultamento",E75="Limpeza/desinfecção"),"Pós-óbito",IF(OR(E75="Transporte do paciente",E75="Cuidado direto",E75="Contato com fluidos",E75="Serviço de saúde",E75="Laboratório"),"Exposição direta/assistencial","Exposição comunitária/outro")))</x:f>
      </x:c>
      <x:c r="Q75" s="16" t="str">
        <x:f>IF(A75="","",IF(P75="Pós-óbito","Sim","Não"))</x:f>
      </x:c>
    </x:row>
    <x:row r="76">
      <x:c r="A76" s="16" t="str"/>
      <x:c r="B76" s="16" t="str"/>
      <x:c r="C76" s="16" t="str"/>
      <x:c r="D76" s="28" t="str"/>
      <x:c r="E76" s="16" t="str"/>
      <x:c r="F76" s="16" t="str"/>
      <x:c r="G76" s="16" t="str"/>
      <x:c r="H76" s="16" t="str"/>
      <x:c r="I76" s="28" t="str"/>
      <x:c r="J76" s="28" t="str"/>
      <x:c r="K76" s="28" t="str"/>
      <x:c r="L76" s="16" t="str"/>
      <x:c r="M76" s="28" t="str">
        <x:f>IF(D76="","",D76+21)</x:f>
      </x:c>
      <x:c r="N76" s="16" t="str">
        <x:f>IF(M76="","",M76-TODAY())</x:f>
      </x:c>
      <x:c r="O76" s="16" t="str">
        <x:f>IF(A76="","",IF(OR(H76="Encerrado",H76="Descartado"),"Encerrado",IF(OR(H76="Sintomático",H76="Suspeito",H76="Confirmado",H76="Óbito"),"Requer avaliação/ação",IF(N76&lt;0,"Prazo concluído","Em monitoramento"))))</x:f>
      </x:c>
      <x:c r="P76" s="16" t="str">
        <x:f>IF(A76="","",IF(OR(E76="Manipulação do corpo",E76="Velório/funeral",E76="Sepultamento",E76="Limpeza/desinfecção"),"Pós-óbito",IF(OR(E76="Transporte do paciente",E76="Cuidado direto",E76="Contato com fluidos",E76="Serviço de saúde",E76="Laboratório"),"Exposição direta/assistencial","Exposição comunitária/outro")))</x:f>
      </x:c>
      <x:c r="Q76" s="16" t="str">
        <x:f>IF(A76="","",IF(P76="Pós-óbito","Sim","Não"))</x:f>
      </x:c>
    </x:row>
    <x:row r="77">
      <x:c r="A77" s="16" t="str"/>
      <x:c r="B77" s="16" t="str"/>
      <x:c r="C77" s="16" t="str"/>
      <x:c r="D77" s="28" t="str"/>
      <x:c r="E77" s="16" t="str"/>
      <x:c r="F77" s="16" t="str"/>
      <x:c r="G77" s="16" t="str"/>
      <x:c r="H77" s="16" t="str"/>
      <x:c r="I77" s="28" t="str"/>
      <x:c r="J77" s="28" t="str"/>
      <x:c r="K77" s="28" t="str"/>
      <x:c r="L77" s="16" t="str"/>
      <x:c r="M77" s="28" t="str">
        <x:f>IF(D77="","",D77+21)</x:f>
      </x:c>
      <x:c r="N77" s="16" t="str">
        <x:f>IF(M77="","",M77-TODAY())</x:f>
      </x:c>
      <x:c r="O77" s="16" t="str">
        <x:f>IF(A77="","",IF(OR(H77="Encerrado",H77="Descartado"),"Encerrado",IF(OR(H77="Sintomático",H77="Suspeito",H77="Confirmado",H77="Óbito"),"Requer avaliação/ação",IF(N77&lt;0,"Prazo concluído","Em monitoramento"))))</x:f>
      </x:c>
      <x:c r="P77" s="16" t="str">
        <x:f>IF(A77="","",IF(OR(E77="Manipulação do corpo",E77="Velório/funeral",E77="Sepultamento",E77="Limpeza/desinfecção"),"Pós-óbito",IF(OR(E77="Transporte do paciente",E77="Cuidado direto",E77="Contato com fluidos",E77="Serviço de saúde",E77="Laboratório"),"Exposição direta/assistencial","Exposição comunitária/outro")))</x:f>
      </x:c>
      <x:c r="Q77" s="16" t="str">
        <x:f>IF(A77="","",IF(P77="Pós-óbito","Sim","Não"))</x:f>
      </x:c>
    </x:row>
    <x:row r="78">
      <x:c r="A78" s="16" t="str"/>
      <x:c r="B78" s="16" t="str"/>
      <x:c r="C78" s="16" t="str"/>
      <x:c r="D78" s="28" t="str"/>
      <x:c r="E78" s="16" t="str"/>
      <x:c r="F78" s="16" t="str"/>
      <x:c r="G78" s="16" t="str"/>
      <x:c r="H78" s="16" t="str"/>
      <x:c r="I78" s="28" t="str"/>
      <x:c r="J78" s="28" t="str"/>
      <x:c r="K78" s="28" t="str"/>
      <x:c r="L78" s="16" t="str"/>
      <x:c r="M78" s="28" t="str">
        <x:f>IF(D78="","",D78+21)</x:f>
      </x:c>
      <x:c r="N78" s="16" t="str">
        <x:f>IF(M78="","",M78-TODAY())</x:f>
      </x:c>
      <x:c r="O78" s="16" t="str">
        <x:f>IF(A78="","",IF(OR(H78="Encerrado",H78="Descartado"),"Encerrado",IF(OR(H78="Sintomático",H78="Suspeito",H78="Confirmado",H78="Óbito"),"Requer avaliação/ação",IF(N78&lt;0,"Prazo concluído","Em monitoramento"))))</x:f>
      </x:c>
      <x:c r="P78" s="16" t="str">
        <x:f>IF(A78="","",IF(OR(E78="Manipulação do corpo",E78="Velório/funeral",E78="Sepultamento",E78="Limpeza/desinfecção"),"Pós-óbito",IF(OR(E78="Transporte do paciente",E78="Cuidado direto",E78="Contato com fluidos",E78="Serviço de saúde",E78="Laboratório"),"Exposição direta/assistencial","Exposição comunitária/outro")))</x:f>
      </x:c>
      <x:c r="Q78" s="16" t="str">
        <x:f>IF(A78="","",IF(P78="Pós-óbito","Sim","Não"))</x:f>
      </x:c>
    </x:row>
    <x:row r="79">
      <x:c r="A79" s="16" t="str"/>
      <x:c r="B79" s="16" t="str"/>
      <x:c r="C79" s="16" t="str"/>
      <x:c r="D79" s="28" t="str"/>
      <x:c r="E79" s="16" t="str"/>
      <x:c r="F79" s="16" t="str"/>
      <x:c r="G79" s="16" t="str"/>
      <x:c r="H79" s="16" t="str"/>
      <x:c r="I79" s="28" t="str"/>
      <x:c r="J79" s="28" t="str"/>
      <x:c r="K79" s="28" t="str"/>
      <x:c r="L79" s="16" t="str"/>
      <x:c r="M79" s="28" t="str">
        <x:f>IF(D79="","",D79+21)</x:f>
      </x:c>
      <x:c r="N79" s="16" t="str">
        <x:f>IF(M79="","",M79-TODAY())</x:f>
      </x:c>
      <x:c r="O79" s="16" t="str">
        <x:f>IF(A79="","",IF(OR(H79="Encerrado",H79="Descartado"),"Encerrado",IF(OR(H79="Sintomático",H79="Suspeito",H79="Confirmado",H79="Óbito"),"Requer avaliação/ação",IF(N79&lt;0,"Prazo concluído","Em monitoramento"))))</x:f>
      </x:c>
      <x:c r="P79" s="16" t="str">
        <x:f>IF(A79="","",IF(OR(E79="Manipulação do corpo",E79="Velório/funeral",E79="Sepultamento",E79="Limpeza/desinfecção"),"Pós-óbito",IF(OR(E79="Transporte do paciente",E79="Cuidado direto",E79="Contato com fluidos",E79="Serviço de saúde",E79="Laboratório"),"Exposição direta/assistencial","Exposição comunitária/outro")))</x:f>
      </x:c>
      <x:c r="Q79" s="16" t="str">
        <x:f>IF(A79="","",IF(P79="Pós-óbito","Sim","Não"))</x:f>
      </x:c>
    </x:row>
    <x:row r="80">
      <x:c r="A80" s="16" t="str"/>
      <x:c r="B80" s="16" t="str"/>
      <x:c r="C80" s="16" t="str"/>
      <x:c r="D80" s="28" t="str"/>
      <x:c r="E80" s="16" t="str"/>
      <x:c r="F80" s="16" t="str"/>
      <x:c r="G80" s="16" t="str"/>
      <x:c r="H80" s="16" t="str"/>
      <x:c r="I80" s="28" t="str"/>
      <x:c r="J80" s="28" t="str"/>
      <x:c r="K80" s="28" t="str"/>
      <x:c r="L80" s="16" t="str"/>
      <x:c r="M80" s="28" t="str">
        <x:f>IF(D80="","",D80+21)</x:f>
      </x:c>
      <x:c r="N80" s="16" t="str">
        <x:f>IF(M80="","",M80-TODAY())</x:f>
      </x:c>
      <x:c r="O80" s="16" t="str">
        <x:f>IF(A80="","",IF(OR(H80="Encerrado",H80="Descartado"),"Encerrado",IF(OR(H80="Sintomático",H80="Suspeito",H80="Confirmado",H80="Óbito"),"Requer avaliação/ação",IF(N80&lt;0,"Prazo concluído","Em monitoramento"))))</x:f>
      </x:c>
      <x:c r="P80" s="16" t="str">
        <x:f>IF(A80="","",IF(OR(E80="Manipulação do corpo",E80="Velório/funeral",E80="Sepultamento",E80="Limpeza/desinfecção"),"Pós-óbito",IF(OR(E80="Transporte do paciente",E80="Cuidado direto",E80="Contato com fluidos",E80="Serviço de saúde",E80="Laboratório"),"Exposição direta/assistencial","Exposição comunitária/outro")))</x:f>
      </x:c>
      <x:c r="Q80" s="16" t="str">
        <x:f>IF(A80="","",IF(P80="Pós-óbito","Sim","Não"))</x:f>
      </x:c>
    </x:row>
    <x:row r="81">
      <x:c r="A81" s="16" t="str"/>
      <x:c r="B81" s="16" t="str"/>
      <x:c r="C81" s="16" t="str"/>
      <x:c r="D81" s="28" t="str"/>
      <x:c r="E81" s="16" t="str"/>
      <x:c r="F81" s="16" t="str"/>
      <x:c r="G81" s="16" t="str"/>
      <x:c r="H81" s="16" t="str"/>
      <x:c r="I81" s="28" t="str"/>
      <x:c r="J81" s="28" t="str"/>
      <x:c r="K81" s="28" t="str"/>
      <x:c r="L81" s="16" t="str"/>
      <x:c r="M81" s="28" t="str">
        <x:f>IF(D81="","",D81+21)</x:f>
      </x:c>
      <x:c r="N81" s="16" t="str">
        <x:f>IF(M81="","",M81-TODAY())</x:f>
      </x:c>
      <x:c r="O81" s="16" t="str">
        <x:f>IF(A81="","",IF(OR(H81="Encerrado",H81="Descartado"),"Encerrado",IF(OR(H81="Sintomático",H81="Suspeito",H81="Confirmado",H81="Óbito"),"Requer avaliação/ação",IF(N81&lt;0,"Prazo concluído","Em monitoramento"))))</x:f>
      </x:c>
      <x:c r="P81" s="16" t="str">
        <x:f>IF(A81="","",IF(OR(E81="Manipulação do corpo",E81="Velório/funeral",E81="Sepultamento",E81="Limpeza/desinfecção"),"Pós-óbito",IF(OR(E81="Transporte do paciente",E81="Cuidado direto",E81="Contato com fluidos",E81="Serviço de saúde",E81="Laboratório"),"Exposição direta/assistencial","Exposição comunitária/outro")))</x:f>
      </x:c>
      <x:c r="Q81" s="16" t="str">
        <x:f>IF(A81="","",IF(P81="Pós-óbito","Sim","Não"))</x:f>
      </x:c>
    </x:row>
    <x:row r="82">
      <x:c r="A82" s="16" t="str"/>
      <x:c r="B82" s="16" t="str"/>
      <x:c r="C82" s="16" t="str"/>
      <x:c r="D82" s="28" t="str"/>
      <x:c r="E82" s="16" t="str"/>
      <x:c r="F82" s="16" t="str"/>
      <x:c r="G82" s="16" t="str"/>
      <x:c r="H82" s="16" t="str"/>
      <x:c r="I82" s="28" t="str"/>
      <x:c r="J82" s="28" t="str"/>
      <x:c r="K82" s="28" t="str"/>
      <x:c r="L82" s="16" t="str"/>
      <x:c r="M82" s="28" t="str">
        <x:f>IF(D82="","",D82+21)</x:f>
      </x:c>
      <x:c r="N82" s="16" t="str">
        <x:f>IF(M82="","",M82-TODAY())</x:f>
      </x:c>
      <x:c r="O82" s="16" t="str">
        <x:f>IF(A82="","",IF(OR(H82="Encerrado",H82="Descartado"),"Encerrado",IF(OR(H82="Sintomático",H82="Suspeito",H82="Confirmado",H82="Óbito"),"Requer avaliação/ação",IF(N82&lt;0,"Prazo concluído","Em monitoramento"))))</x:f>
      </x:c>
      <x:c r="P82" s="16" t="str">
        <x:f>IF(A82="","",IF(OR(E82="Manipulação do corpo",E82="Velório/funeral",E82="Sepultamento",E82="Limpeza/desinfecção"),"Pós-óbito",IF(OR(E82="Transporte do paciente",E82="Cuidado direto",E82="Contato com fluidos",E82="Serviço de saúde",E82="Laboratório"),"Exposição direta/assistencial","Exposição comunitária/outro")))</x:f>
      </x:c>
      <x:c r="Q82" s="16" t="str">
        <x:f>IF(A82="","",IF(P82="Pós-óbito","Sim","Não"))</x:f>
      </x:c>
    </x:row>
    <x:row r="83">
      <x:c r="A83" s="16" t="str"/>
      <x:c r="B83" s="16" t="str"/>
      <x:c r="C83" s="16" t="str"/>
      <x:c r="D83" s="28" t="str"/>
      <x:c r="E83" s="16" t="str"/>
      <x:c r="F83" s="16" t="str"/>
      <x:c r="G83" s="16" t="str"/>
      <x:c r="H83" s="16" t="str"/>
      <x:c r="I83" s="28" t="str"/>
      <x:c r="J83" s="28" t="str"/>
      <x:c r="K83" s="28" t="str"/>
      <x:c r="L83" s="16" t="str"/>
      <x:c r="M83" s="28" t="str">
        <x:f>IF(D83="","",D83+21)</x:f>
      </x:c>
      <x:c r="N83" s="16" t="str">
        <x:f>IF(M83="","",M83-TODAY())</x:f>
      </x:c>
      <x:c r="O83" s="16" t="str">
        <x:f>IF(A83="","",IF(OR(H83="Encerrado",H83="Descartado"),"Encerrado",IF(OR(H83="Sintomático",H83="Suspeito",H83="Confirmado",H83="Óbito"),"Requer avaliação/ação",IF(N83&lt;0,"Prazo concluído","Em monitoramento"))))</x:f>
      </x:c>
      <x:c r="P83" s="16" t="str">
        <x:f>IF(A83="","",IF(OR(E83="Manipulação do corpo",E83="Velório/funeral",E83="Sepultamento",E83="Limpeza/desinfecção"),"Pós-óbito",IF(OR(E83="Transporte do paciente",E83="Cuidado direto",E83="Contato com fluidos",E83="Serviço de saúde",E83="Laboratório"),"Exposição direta/assistencial","Exposição comunitária/outro")))</x:f>
      </x:c>
      <x:c r="Q83" s="16" t="str">
        <x:f>IF(A83="","",IF(P83="Pós-óbito","Sim","Não"))</x:f>
      </x:c>
    </x:row>
    <x:row r="84">
      <x:c r="A84" s="16" t="str"/>
      <x:c r="B84" s="16" t="str"/>
      <x:c r="C84" s="16" t="str"/>
      <x:c r="D84" s="28" t="str"/>
      <x:c r="E84" s="16" t="str"/>
      <x:c r="F84" s="16" t="str"/>
      <x:c r="G84" s="16" t="str"/>
      <x:c r="H84" s="16" t="str"/>
      <x:c r="I84" s="28" t="str"/>
      <x:c r="J84" s="28" t="str"/>
      <x:c r="K84" s="28" t="str"/>
      <x:c r="L84" s="16" t="str"/>
      <x:c r="M84" s="28" t="str">
        <x:f>IF(D84="","",D84+21)</x:f>
      </x:c>
      <x:c r="N84" s="16" t="str">
        <x:f>IF(M84="","",M84-TODAY())</x:f>
      </x:c>
      <x:c r="O84" s="16" t="str">
        <x:f>IF(A84="","",IF(OR(H84="Encerrado",H84="Descartado"),"Encerrado",IF(OR(H84="Sintomático",H84="Suspeito",H84="Confirmado",H84="Óbito"),"Requer avaliação/ação",IF(N84&lt;0,"Prazo concluído","Em monitoramento"))))</x:f>
      </x:c>
      <x:c r="P84" s="16" t="str">
        <x:f>IF(A84="","",IF(OR(E84="Manipulação do corpo",E84="Velório/funeral",E84="Sepultamento",E84="Limpeza/desinfecção"),"Pós-óbito",IF(OR(E84="Transporte do paciente",E84="Cuidado direto",E84="Contato com fluidos",E84="Serviço de saúde",E84="Laboratório"),"Exposição direta/assistencial","Exposição comunitária/outro")))</x:f>
      </x:c>
      <x:c r="Q84" s="16" t="str">
        <x:f>IF(A84="","",IF(P84="Pós-óbito","Sim","Não"))</x:f>
      </x:c>
    </x:row>
    <x:row r="85">
      <x:c r="A85" s="16" t="str"/>
      <x:c r="B85" s="16" t="str"/>
      <x:c r="C85" s="16" t="str"/>
      <x:c r="D85" s="28" t="str"/>
      <x:c r="E85" s="16" t="str"/>
      <x:c r="F85" s="16" t="str"/>
      <x:c r="G85" s="16" t="str"/>
      <x:c r="H85" s="16" t="str"/>
      <x:c r="I85" s="28" t="str"/>
      <x:c r="J85" s="28" t="str"/>
      <x:c r="K85" s="28" t="str"/>
      <x:c r="L85" s="16" t="str"/>
      <x:c r="M85" s="28" t="str">
        <x:f>IF(D85="","",D85+21)</x:f>
      </x:c>
      <x:c r="N85" s="16" t="str">
        <x:f>IF(M85="","",M85-TODAY())</x:f>
      </x:c>
      <x:c r="O85" s="16" t="str">
        <x:f>IF(A85="","",IF(OR(H85="Encerrado",H85="Descartado"),"Encerrado",IF(OR(H85="Sintomático",H85="Suspeito",H85="Confirmado",H85="Óbito"),"Requer avaliação/ação",IF(N85&lt;0,"Prazo concluído","Em monitoramento"))))</x:f>
      </x:c>
      <x:c r="P85" s="16" t="str">
        <x:f>IF(A85="","",IF(OR(E85="Manipulação do corpo",E85="Velório/funeral",E85="Sepultamento",E85="Limpeza/desinfecção"),"Pós-óbito",IF(OR(E85="Transporte do paciente",E85="Cuidado direto",E85="Contato com fluidos",E85="Serviço de saúde",E85="Laboratório"),"Exposição direta/assistencial","Exposição comunitária/outro")))</x:f>
      </x:c>
      <x:c r="Q85" s="16" t="str">
        <x:f>IF(A85="","",IF(P85="Pós-óbito","Sim","Não"))</x:f>
      </x:c>
    </x:row>
    <x:row r="86">
      <x:c r="A86" s="16" t="str"/>
      <x:c r="B86" s="16" t="str"/>
      <x:c r="C86" s="16" t="str"/>
      <x:c r="D86" s="28" t="str"/>
      <x:c r="E86" s="16" t="str"/>
      <x:c r="F86" s="16" t="str"/>
      <x:c r="G86" s="16" t="str"/>
      <x:c r="H86" s="16" t="str"/>
      <x:c r="I86" s="28" t="str"/>
      <x:c r="J86" s="28" t="str"/>
      <x:c r="K86" s="28" t="str"/>
      <x:c r="L86" s="16" t="str"/>
      <x:c r="M86" s="28" t="str">
        <x:f>IF(D86="","",D86+21)</x:f>
      </x:c>
      <x:c r="N86" s="16" t="str">
        <x:f>IF(M86="","",M86-TODAY())</x:f>
      </x:c>
      <x:c r="O86" s="16" t="str">
        <x:f>IF(A86="","",IF(OR(H86="Encerrado",H86="Descartado"),"Encerrado",IF(OR(H86="Sintomático",H86="Suspeito",H86="Confirmado",H86="Óbito"),"Requer avaliação/ação",IF(N86&lt;0,"Prazo concluído","Em monitoramento"))))</x:f>
      </x:c>
      <x:c r="P86" s="16" t="str">
        <x:f>IF(A86="","",IF(OR(E86="Manipulação do corpo",E86="Velório/funeral",E86="Sepultamento",E86="Limpeza/desinfecção"),"Pós-óbito",IF(OR(E86="Transporte do paciente",E86="Cuidado direto",E86="Contato com fluidos",E86="Serviço de saúde",E86="Laboratório"),"Exposição direta/assistencial","Exposição comunitária/outro")))</x:f>
      </x:c>
      <x:c r="Q86" s="16" t="str">
        <x:f>IF(A86="","",IF(P86="Pós-óbito","Sim","Não"))</x:f>
      </x:c>
    </x:row>
    <x:row r="87">
      <x:c r="A87" s="16" t="str"/>
      <x:c r="B87" s="16" t="str"/>
      <x:c r="C87" s="16" t="str"/>
      <x:c r="D87" s="28" t="str"/>
      <x:c r="E87" s="16" t="str"/>
      <x:c r="F87" s="16" t="str"/>
      <x:c r="G87" s="16" t="str"/>
      <x:c r="H87" s="16" t="str"/>
      <x:c r="I87" s="28" t="str"/>
      <x:c r="J87" s="28" t="str"/>
      <x:c r="K87" s="28" t="str"/>
      <x:c r="L87" s="16" t="str"/>
      <x:c r="M87" s="28" t="str">
        <x:f>IF(D87="","",D87+21)</x:f>
      </x:c>
      <x:c r="N87" s="16" t="str">
        <x:f>IF(M87="","",M87-TODAY())</x:f>
      </x:c>
      <x:c r="O87" s="16" t="str">
        <x:f>IF(A87="","",IF(OR(H87="Encerrado",H87="Descartado"),"Encerrado",IF(OR(H87="Sintomático",H87="Suspeito",H87="Confirmado",H87="Óbito"),"Requer avaliação/ação",IF(N87&lt;0,"Prazo concluído","Em monitoramento"))))</x:f>
      </x:c>
      <x:c r="P87" s="16" t="str">
        <x:f>IF(A87="","",IF(OR(E87="Manipulação do corpo",E87="Velório/funeral",E87="Sepultamento",E87="Limpeza/desinfecção"),"Pós-óbito",IF(OR(E87="Transporte do paciente",E87="Cuidado direto",E87="Contato com fluidos",E87="Serviço de saúde",E87="Laboratório"),"Exposição direta/assistencial","Exposição comunitária/outro")))</x:f>
      </x:c>
      <x:c r="Q87" s="16" t="str">
        <x:f>IF(A87="","",IF(P87="Pós-óbito","Sim","Não"))</x:f>
      </x:c>
    </x:row>
    <x:row r="88">
      <x:c r="A88" s="16" t="str"/>
      <x:c r="B88" s="16" t="str"/>
      <x:c r="C88" s="16" t="str"/>
      <x:c r="D88" s="28" t="str"/>
      <x:c r="E88" s="16" t="str"/>
      <x:c r="F88" s="16" t="str"/>
      <x:c r="G88" s="16" t="str"/>
      <x:c r="H88" s="16" t="str"/>
      <x:c r="I88" s="28" t="str"/>
      <x:c r="J88" s="28" t="str"/>
      <x:c r="K88" s="28" t="str"/>
      <x:c r="L88" s="16" t="str"/>
      <x:c r="M88" s="28" t="str">
        <x:f>IF(D88="","",D88+21)</x:f>
      </x:c>
      <x:c r="N88" s="16" t="str">
        <x:f>IF(M88="","",M88-TODAY())</x:f>
      </x:c>
      <x:c r="O88" s="16" t="str">
        <x:f>IF(A88="","",IF(OR(H88="Encerrado",H88="Descartado"),"Encerrado",IF(OR(H88="Sintomático",H88="Suspeito",H88="Confirmado",H88="Óbito"),"Requer avaliação/ação",IF(N88&lt;0,"Prazo concluído","Em monitoramento"))))</x:f>
      </x:c>
      <x:c r="P88" s="16" t="str">
        <x:f>IF(A88="","",IF(OR(E88="Manipulação do corpo",E88="Velório/funeral",E88="Sepultamento",E88="Limpeza/desinfecção"),"Pós-óbito",IF(OR(E88="Transporte do paciente",E88="Cuidado direto",E88="Contato com fluidos",E88="Serviço de saúde",E88="Laboratório"),"Exposição direta/assistencial","Exposição comunitária/outro")))</x:f>
      </x:c>
      <x:c r="Q88" s="16" t="str">
        <x:f>IF(A88="","",IF(P88="Pós-óbito","Sim","Não"))</x:f>
      </x:c>
    </x:row>
    <x:row r="89">
      <x:c r="A89" s="16" t="str"/>
      <x:c r="B89" s="16" t="str"/>
      <x:c r="C89" s="16" t="str"/>
      <x:c r="D89" s="28" t="str"/>
      <x:c r="E89" s="16" t="str"/>
      <x:c r="F89" s="16" t="str"/>
      <x:c r="G89" s="16" t="str"/>
      <x:c r="H89" s="16" t="str"/>
      <x:c r="I89" s="28" t="str"/>
      <x:c r="J89" s="28" t="str"/>
      <x:c r="K89" s="28" t="str"/>
      <x:c r="L89" s="16" t="str"/>
      <x:c r="M89" s="28" t="str">
        <x:f>IF(D89="","",D89+21)</x:f>
      </x:c>
      <x:c r="N89" s="16" t="str">
        <x:f>IF(M89="","",M89-TODAY())</x:f>
      </x:c>
      <x:c r="O89" s="16" t="str">
        <x:f>IF(A89="","",IF(OR(H89="Encerrado",H89="Descartado"),"Encerrado",IF(OR(H89="Sintomático",H89="Suspeito",H89="Confirmado",H89="Óbito"),"Requer avaliação/ação",IF(N89&lt;0,"Prazo concluído","Em monitoramento"))))</x:f>
      </x:c>
      <x:c r="P89" s="16" t="str">
        <x:f>IF(A89="","",IF(OR(E89="Manipulação do corpo",E89="Velório/funeral",E89="Sepultamento",E89="Limpeza/desinfecção"),"Pós-óbito",IF(OR(E89="Transporte do paciente",E89="Cuidado direto",E89="Contato com fluidos",E89="Serviço de saúde",E89="Laboratório"),"Exposição direta/assistencial","Exposição comunitária/outro")))</x:f>
      </x:c>
      <x:c r="Q89" s="16" t="str">
        <x:f>IF(A89="","",IF(P89="Pós-óbito","Sim","Não"))</x:f>
      </x:c>
    </x:row>
    <x:row r="90">
      <x:c r="A90" s="16" t="str"/>
      <x:c r="B90" s="16" t="str"/>
      <x:c r="C90" s="16" t="str"/>
      <x:c r="D90" s="28" t="str"/>
      <x:c r="E90" s="16" t="str"/>
      <x:c r="F90" s="16" t="str"/>
      <x:c r="G90" s="16" t="str"/>
      <x:c r="H90" s="16" t="str"/>
      <x:c r="I90" s="28" t="str"/>
      <x:c r="J90" s="28" t="str"/>
      <x:c r="K90" s="28" t="str"/>
      <x:c r="L90" s="16" t="str"/>
      <x:c r="M90" s="28" t="str">
        <x:f>IF(D90="","",D90+21)</x:f>
      </x:c>
      <x:c r="N90" s="16" t="str">
        <x:f>IF(M90="","",M90-TODAY())</x:f>
      </x:c>
      <x:c r="O90" s="16" t="str">
        <x:f>IF(A90="","",IF(OR(H90="Encerrado",H90="Descartado"),"Encerrado",IF(OR(H90="Sintomático",H90="Suspeito",H90="Confirmado",H90="Óbito"),"Requer avaliação/ação",IF(N90&lt;0,"Prazo concluído","Em monitoramento"))))</x:f>
      </x:c>
      <x:c r="P90" s="16" t="str">
        <x:f>IF(A90="","",IF(OR(E90="Manipulação do corpo",E90="Velório/funeral",E90="Sepultamento",E90="Limpeza/desinfecção"),"Pós-óbito",IF(OR(E90="Transporte do paciente",E90="Cuidado direto",E90="Contato com fluidos",E90="Serviço de saúde",E90="Laboratório"),"Exposição direta/assistencial","Exposição comunitária/outro")))</x:f>
      </x:c>
      <x:c r="Q90" s="16" t="str">
        <x:f>IF(A90="","",IF(P90="Pós-óbito","Sim","Não"))</x:f>
      </x:c>
    </x:row>
    <x:row r="91">
      <x:c r="A91" s="16" t="str"/>
      <x:c r="B91" s="16" t="str"/>
      <x:c r="C91" s="16" t="str"/>
      <x:c r="D91" s="28" t="str"/>
      <x:c r="E91" s="16" t="str"/>
      <x:c r="F91" s="16" t="str"/>
      <x:c r="G91" s="16" t="str"/>
      <x:c r="H91" s="16" t="str"/>
      <x:c r="I91" s="28" t="str"/>
      <x:c r="J91" s="28" t="str"/>
      <x:c r="K91" s="28" t="str"/>
      <x:c r="L91" s="16" t="str"/>
      <x:c r="M91" s="28" t="str">
        <x:f>IF(D91="","",D91+21)</x:f>
      </x:c>
      <x:c r="N91" s="16" t="str">
        <x:f>IF(M91="","",M91-TODAY())</x:f>
      </x:c>
      <x:c r="O91" s="16" t="str">
        <x:f>IF(A91="","",IF(OR(H91="Encerrado",H91="Descartado"),"Encerrado",IF(OR(H91="Sintomático",H91="Suspeito",H91="Confirmado",H91="Óbito"),"Requer avaliação/ação",IF(N91&lt;0,"Prazo concluído","Em monitoramento"))))</x:f>
      </x:c>
      <x:c r="P91" s="16" t="str">
        <x:f>IF(A91="","",IF(OR(E91="Manipulação do corpo",E91="Velório/funeral",E91="Sepultamento",E91="Limpeza/desinfecção"),"Pós-óbito",IF(OR(E91="Transporte do paciente",E91="Cuidado direto",E91="Contato com fluidos",E91="Serviço de saúde",E91="Laboratório"),"Exposição direta/assistencial","Exposição comunitária/outro")))</x:f>
      </x:c>
      <x:c r="Q91" s="16" t="str">
        <x:f>IF(A91="","",IF(P91="Pós-óbito","Sim","Não"))</x:f>
      </x:c>
    </x:row>
    <x:row r="92">
      <x:c r="A92" s="16" t="str"/>
      <x:c r="B92" s="16" t="str"/>
      <x:c r="C92" s="16" t="str"/>
      <x:c r="D92" s="28" t="str"/>
      <x:c r="E92" s="16" t="str"/>
      <x:c r="F92" s="16" t="str"/>
      <x:c r="G92" s="16" t="str"/>
      <x:c r="H92" s="16" t="str"/>
      <x:c r="I92" s="28" t="str"/>
      <x:c r="J92" s="28" t="str"/>
      <x:c r="K92" s="28" t="str"/>
      <x:c r="L92" s="16" t="str"/>
      <x:c r="M92" s="28" t="str">
        <x:f>IF(D92="","",D92+21)</x:f>
      </x:c>
      <x:c r="N92" s="16" t="str">
        <x:f>IF(M92="","",M92-TODAY())</x:f>
      </x:c>
      <x:c r="O92" s="16" t="str">
        <x:f>IF(A92="","",IF(OR(H92="Encerrado",H92="Descartado"),"Encerrado",IF(OR(H92="Sintomático",H92="Suspeito",H92="Confirmado",H92="Óbito"),"Requer avaliação/ação",IF(N92&lt;0,"Prazo concluído","Em monitoramento"))))</x:f>
      </x:c>
      <x:c r="P92" s="16" t="str">
        <x:f>IF(A92="","",IF(OR(E92="Manipulação do corpo",E92="Velório/funeral",E92="Sepultamento",E92="Limpeza/desinfecção"),"Pós-óbito",IF(OR(E92="Transporte do paciente",E92="Cuidado direto",E92="Contato com fluidos",E92="Serviço de saúde",E92="Laboratório"),"Exposição direta/assistencial","Exposição comunitária/outro")))</x:f>
      </x:c>
      <x:c r="Q92" s="16" t="str">
        <x:f>IF(A92="","",IF(P92="Pós-óbito","Sim","Não"))</x:f>
      </x:c>
    </x:row>
    <x:row r="93">
      <x:c r="A93" s="16" t="str"/>
      <x:c r="B93" s="16" t="str"/>
      <x:c r="C93" s="16" t="str"/>
      <x:c r="D93" s="28" t="str"/>
      <x:c r="E93" s="16" t="str"/>
      <x:c r="F93" s="16" t="str"/>
      <x:c r="G93" s="16" t="str"/>
      <x:c r="H93" s="16" t="str"/>
      <x:c r="I93" s="28" t="str"/>
      <x:c r="J93" s="28" t="str"/>
      <x:c r="K93" s="28" t="str"/>
      <x:c r="L93" s="16" t="str"/>
      <x:c r="M93" s="28" t="str">
        <x:f>IF(D93="","",D93+21)</x:f>
      </x:c>
      <x:c r="N93" s="16" t="str">
        <x:f>IF(M93="","",M93-TODAY())</x:f>
      </x:c>
      <x:c r="O93" s="16" t="str">
        <x:f>IF(A93="","",IF(OR(H93="Encerrado",H93="Descartado"),"Encerrado",IF(OR(H93="Sintomático",H93="Suspeito",H93="Confirmado",H93="Óbito"),"Requer avaliação/ação",IF(N93&lt;0,"Prazo concluído","Em monitoramento"))))</x:f>
      </x:c>
      <x:c r="P93" s="16" t="str">
        <x:f>IF(A93="","",IF(OR(E93="Manipulação do corpo",E93="Velório/funeral",E93="Sepultamento",E93="Limpeza/desinfecção"),"Pós-óbito",IF(OR(E93="Transporte do paciente",E93="Cuidado direto",E93="Contato com fluidos",E93="Serviço de saúde",E93="Laboratório"),"Exposição direta/assistencial","Exposição comunitária/outro")))</x:f>
      </x:c>
      <x:c r="Q93" s="16" t="str">
        <x:f>IF(A93="","",IF(P93="Pós-óbito","Sim","Não"))</x:f>
      </x:c>
    </x:row>
    <x:row r="94">
      <x:c r="A94" s="16" t="str"/>
      <x:c r="B94" s="16" t="str"/>
      <x:c r="C94" s="16" t="str"/>
      <x:c r="D94" s="28" t="str"/>
      <x:c r="E94" s="16" t="str"/>
      <x:c r="F94" s="16" t="str"/>
      <x:c r="G94" s="16" t="str"/>
      <x:c r="H94" s="16" t="str"/>
      <x:c r="I94" s="28" t="str"/>
      <x:c r="J94" s="28" t="str"/>
      <x:c r="K94" s="28" t="str"/>
      <x:c r="L94" s="16" t="str"/>
      <x:c r="M94" s="28" t="str">
        <x:f>IF(D94="","",D94+21)</x:f>
      </x:c>
      <x:c r="N94" s="16" t="str">
        <x:f>IF(M94="","",M94-TODAY())</x:f>
      </x:c>
      <x:c r="O94" s="16" t="str">
        <x:f>IF(A94="","",IF(OR(H94="Encerrado",H94="Descartado"),"Encerrado",IF(OR(H94="Sintomático",H94="Suspeito",H94="Confirmado",H94="Óbito"),"Requer avaliação/ação",IF(N94&lt;0,"Prazo concluído","Em monitoramento"))))</x:f>
      </x:c>
      <x:c r="P94" s="16" t="str">
        <x:f>IF(A94="","",IF(OR(E94="Manipulação do corpo",E94="Velório/funeral",E94="Sepultamento",E94="Limpeza/desinfecção"),"Pós-óbito",IF(OR(E94="Transporte do paciente",E94="Cuidado direto",E94="Contato com fluidos",E94="Serviço de saúde",E94="Laboratório"),"Exposição direta/assistencial","Exposição comunitária/outro")))</x:f>
      </x:c>
      <x:c r="Q94" s="16" t="str">
        <x:f>IF(A94="","",IF(P94="Pós-óbito","Sim","Não"))</x:f>
      </x:c>
    </x:row>
    <x:row r="95">
      <x:c r="A95" s="16" t="str"/>
      <x:c r="B95" s="16" t="str"/>
      <x:c r="C95" s="16" t="str"/>
      <x:c r="D95" s="28" t="str"/>
      <x:c r="E95" s="16" t="str"/>
      <x:c r="F95" s="16" t="str"/>
      <x:c r="G95" s="16" t="str"/>
      <x:c r="H95" s="16" t="str"/>
      <x:c r="I95" s="28" t="str"/>
      <x:c r="J95" s="28" t="str"/>
      <x:c r="K95" s="28" t="str"/>
      <x:c r="L95" s="16" t="str"/>
      <x:c r="M95" s="28" t="str">
        <x:f>IF(D95="","",D95+21)</x:f>
      </x:c>
      <x:c r="N95" s="16" t="str">
        <x:f>IF(M95="","",M95-TODAY())</x:f>
      </x:c>
      <x:c r="O95" s="16" t="str">
        <x:f>IF(A95="","",IF(OR(H95="Encerrado",H95="Descartado"),"Encerrado",IF(OR(H95="Sintomático",H95="Suspeito",H95="Confirmado",H95="Óbito"),"Requer avaliação/ação",IF(N95&lt;0,"Prazo concluído","Em monitoramento"))))</x:f>
      </x:c>
      <x:c r="P95" s="16" t="str">
        <x:f>IF(A95="","",IF(OR(E95="Manipulação do corpo",E95="Velório/funeral",E95="Sepultamento",E95="Limpeza/desinfecção"),"Pós-óbito",IF(OR(E95="Transporte do paciente",E95="Cuidado direto",E95="Contato com fluidos",E95="Serviço de saúde",E95="Laboratório"),"Exposição direta/assistencial","Exposição comunitária/outro")))</x:f>
      </x:c>
      <x:c r="Q95" s="16" t="str">
        <x:f>IF(A95="","",IF(P95="Pós-óbito","Sim","Não"))</x:f>
      </x:c>
    </x:row>
    <x:row r="96">
      <x:c r="A96" s="16" t="str"/>
      <x:c r="B96" s="16" t="str"/>
      <x:c r="C96" s="16" t="str"/>
      <x:c r="D96" s="28" t="str"/>
      <x:c r="E96" s="16" t="str"/>
      <x:c r="F96" s="16" t="str"/>
      <x:c r="G96" s="16" t="str"/>
      <x:c r="H96" s="16" t="str"/>
      <x:c r="I96" s="28" t="str"/>
      <x:c r="J96" s="28" t="str"/>
      <x:c r="K96" s="28" t="str"/>
      <x:c r="L96" s="16" t="str"/>
      <x:c r="M96" s="28" t="str">
        <x:f>IF(D96="","",D96+21)</x:f>
      </x:c>
      <x:c r="N96" s="16" t="str">
        <x:f>IF(M96="","",M96-TODAY())</x:f>
      </x:c>
      <x:c r="O96" s="16" t="str">
        <x:f>IF(A96="","",IF(OR(H96="Encerrado",H96="Descartado"),"Encerrado",IF(OR(H96="Sintomático",H96="Suspeito",H96="Confirmado",H96="Óbito"),"Requer avaliação/ação",IF(N96&lt;0,"Prazo concluído","Em monitoramento"))))</x:f>
      </x:c>
      <x:c r="P96" s="16" t="str">
        <x:f>IF(A96="","",IF(OR(E96="Manipulação do corpo",E96="Velório/funeral",E96="Sepultamento",E96="Limpeza/desinfecção"),"Pós-óbito",IF(OR(E96="Transporte do paciente",E96="Cuidado direto",E96="Contato com fluidos",E96="Serviço de saúde",E96="Laboratório"),"Exposição direta/assistencial","Exposição comunitária/outro")))</x:f>
      </x:c>
      <x:c r="Q96" s="16" t="str">
        <x:f>IF(A96="","",IF(P96="Pós-óbito","Sim","Não"))</x:f>
      </x:c>
    </x:row>
    <x:row r="97">
      <x:c r="A97" s="16" t="str"/>
      <x:c r="B97" s="16" t="str"/>
      <x:c r="C97" s="16" t="str"/>
      <x:c r="D97" s="28" t="str"/>
      <x:c r="E97" s="16" t="str"/>
      <x:c r="F97" s="16" t="str"/>
      <x:c r="G97" s="16" t="str"/>
      <x:c r="H97" s="16" t="str"/>
      <x:c r="I97" s="28" t="str"/>
      <x:c r="J97" s="28" t="str"/>
      <x:c r="K97" s="28" t="str"/>
      <x:c r="L97" s="16" t="str"/>
      <x:c r="M97" s="28" t="str">
        <x:f>IF(D97="","",D97+21)</x:f>
      </x:c>
      <x:c r="N97" s="16" t="str">
        <x:f>IF(M97="","",M97-TODAY())</x:f>
      </x:c>
      <x:c r="O97" s="16" t="str">
        <x:f>IF(A97="","",IF(OR(H97="Encerrado",H97="Descartado"),"Encerrado",IF(OR(H97="Sintomático",H97="Suspeito",H97="Confirmado",H97="Óbito"),"Requer avaliação/ação",IF(N97&lt;0,"Prazo concluído","Em monitoramento"))))</x:f>
      </x:c>
      <x:c r="P97" s="16" t="str">
        <x:f>IF(A97="","",IF(OR(E97="Manipulação do corpo",E97="Velório/funeral",E97="Sepultamento",E97="Limpeza/desinfecção"),"Pós-óbito",IF(OR(E97="Transporte do paciente",E97="Cuidado direto",E97="Contato com fluidos",E97="Serviço de saúde",E97="Laboratório"),"Exposição direta/assistencial","Exposição comunitária/outro")))</x:f>
      </x:c>
      <x:c r="Q97" s="16" t="str">
        <x:f>IF(A97="","",IF(P97="Pós-óbito","Sim","Não"))</x:f>
      </x:c>
    </x:row>
    <x:row r="98">
      <x:c r="A98" s="16" t="str"/>
      <x:c r="B98" s="16" t="str"/>
      <x:c r="C98" s="16" t="str"/>
      <x:c r="D98" s="28" t="str"/>
      <x:c r="E98" s="16" t="str"/>
      <x:c r="F98" s="16" t="str"/>
      <x:c r="G98" s="16" t="str"/>
      <x:c r="H98" s="16" t="str"/>
      <x:c r="I98" s="28" t="str"/>
      <x:c r="J98" s="28" t="str"/>
      <x:c r="K98" s="28" t="str"/>
      <x:c r="L98" s="16" t="str"/>
      <x:c r="M98" s="28" t="str">
        <x:f>IF(D98="","",D98+21)</x:f>
      </x:c>
      <x:c r="N98" s="16" t="str">
        <x:f>IF(M98="","",M98-TODAY())</x:f>
      </x:c>
      <x:c r="O98" s="16" t="str">
        <x:f>IF(A98="","",IF(OR(H98="Encerrado",H98="Descartado"),"Encerrado",IF(OR(H98="Sintomático",H98="Suspeito",H98="Confirmado",H98="Óbito"),"Requer avaliação/ação",IF(N98&lt;0,"Prazo concluído","Em monitoramento"))))</x:f>
      </x:c>
      <x:c r="P98" s="16" t="str">
        <x:f>IF(A98="","",IF(OR(E98="Manipulação do corpo",E98="Velório/funeral",E98="Sepultamento",E98="Limpeza/desinfecção"),"Pós-óbito",IF(OR(E98="Transporte do paciente",E98="Cuidado direto",E98="Contato com fluidos",E98="Serviço de saúde",E98="Laboratório"),"Exposição direta/assistencial","Exposição comunitária/outro")))</x:f>
      </x:c>
      <x:c r="Q98" s="16" t="str">
        <x:f>IF(A98="","",IF(P98="Pós-óbito","Sim","Não"))</x:f>
      </x:c>
    </x:row>
    <x:row r="99">
      <x:c r="A99" s="16" t="str"/>
      <x:c r="B99" s="16" t="str"/>
      <x:c r="C99" s="16" t="str"/>
      <x:c r="D99" s="28" t="str"/>
      <x:c r="E99" s="16" t="str"/>
      <x:c r="F99" s="16" t="str"/>
      <x:c r="G99" s="16" t="str"/>
      <x:c r="H99" s="16" t="str"/>
      <x:c r="I99" s="28" t="str"/>
      <x:c r="J99" s="28" t="str"/>
      <x:c r="K99" s="28" t="str"/>
      <x:c r="L99" s="16" t="str"/>
      <x:c r="M99" s="28" t="str">
        <x:f>IF(D99="","",D99+21)</x:f>
      </x:c>
      <x:c r="N99" s="16" t="str">
        <x:f>IF(M99="","",M99-TODAY())</x:f>
      </x:c>
      <x:c r="O99" s="16" t="str">
        <x:f>IF(A99="","",IF(OR(H99="Encerrado",H99="Descartado"),"Encerrado",IF(OR(H99="Sintomático",H99="Suspeito",H99="Confirmado",H99="Óbito"),"Requer avaliação/ação",IF(N99&lt;0,"Prazo concluído","Em monitoramento"))))</x:f>
      </x:c>
      <x:c r="P99" s="16" t="str">
        <x:f>IF(A99="","",IF(OR(E99="Manipulação do corpo",E99="Velório/funeral",E99="Sepultamento",E99="Limpeza/desinfecção"),"Pós-óbito",IF(OR(E99="Transporte do paciente",E99="Cuidado direto",E99="Contato com fluidos",E99="Serviço de saúde",E99="Laboratório"),"Exposição direta/assistencial","Exposição comunitária/outro")))</x:f>
      </x:c>
      <x:c r="Q99" s="16" t="str">
        <x:f>IF(A99="","",IF(P99="Pós-óbito","Sim","Não"))</x:f>
      </x:c>
    </x:row>
    <x:row r="100">
      <x:c r="A100" s="16" t="str"/>
      <x:c r="B100" s="16" t="str"/>
      <x:c r="C100" s="16" t="str"/>
      <x:c r="D100" s="28" t="str"/>
      <x:c r="E100" s="16" t="str"/>
      <x:c r="F100" s="16" t="str"/>
      <x:c r="G100" s="16" t="str"/>
      <x:c r="H100" s="16" t="str"/>
      <x:c r="I100" s="28" t="str"/>
      <x:c r="J100" s="28" t="str"/>
      <x:c r="K100" s="28" t="str"/>
      <x:c r="L100" s="16" t="str"/>
      <x:c r="M100" s="28" t="str">
        <x:f>IF(D100="","",D100+21)</x:f>
      </x:c>
      <x:c r="N100" s="16" t="str">
        <x:f>IF(M100="","",M100-TODAY())</x:f>
      </x:c>
      <x:c r="O100" s="16" t="str">
        <x:f>IF(A100="","",IF(OR(H100="Encerrado",H100="Descartado"),"Encerrado",IF(OR(H100="Sintomático",H100="Suspeito",H100="Confirmado",H100="Óbito"),"Requer avaliação/ação",IF(N100&lt;0,"Prazo concluído","Em monitoramento"))))</x:f>
      </x:c>
      <x:c r="P100" s="16" t="str">
        <x:f>IF(A100="","",IF(OR(E100="Manipulação do corpo",E100="Velório/funeral",E100="Sepultamento",E100="Limpeza/desinfecção"),"Pós-óbito",IF(OR(E100="Transporte do paciente",E100="Cuidado direto",E100="Contato com fluidos",E100="Serviço de saúde",E100="Laboratório"),"Exposição direta/assistencial","Exposição comunitária/outro")))</x:f>
      </x:c>
      <x:c r="Q100" s="16" t="str">
        <x:f>IF(A100="","",IF(P100="Pós-óbito","Sim","Não"))</x:f>
      </x:c>
    </x:row>
    <x:row r="101">
      <x:c r="A101" s="16" t="str"/>
      <x:c r="B101" s="16" t="str"/>
      <x:c r="C101" s="16" t="str"/>
      <x:c r="D101" s="28" t="str"/>
      <x:c r="E101" s="16" t="str"/>
      <x:c r="F101" s="16" t="str"/>
      <x:c r="G101" s="16" t="str"/>
      <x:c r="H101" s="16" t="str"/>
      <x:c r="I101" s="28" t="str"/>
      <x:c r="J101" s="28" t="str"/>
      <x:c r="K101" s="28" t="str"/>
      <x:c r="L101" s="16" t="str"/>
      <x:c r="M101" s="28" t="str">
        <x:f>IF(D101="","",D101+21)</x:f>
      </x:c>
      <x:c r="N101" s="16" t="str">
        <x:f>IF(M101="","",M101-TODAY())</x:f>
      </x:c>
      <x:c r="O101" s="16" t="str">
        <x:f>IF(A101="","",IF(OR(H101="Encerrado",H101="Descartado"),"Encerrado",IF(OR(H101="Sintomático",H101="Suspeito",H101="Confirmado",H101="Óbito"),"Requer avaliação/ação",IF(N101&lt;0,"Prazo concluído","Em monitoramento"))))</x:f>
      </x:c>
      <x:c r="P101" s="16" t="str">
        <x:f>IF(A101="","",IF(OR(E101="Manipulação do corpo",E101="Velório/funeral",E101="Sepultamento",E101="Limpeza/desinfecção"),"Pós-óbito",IF(OR(E101="Transporte do paciente",E101="Cuidado direto",E101="Contato com fluidos",E101="Serviço de saúde",E101="Laboratório"),"Exposição direta/assistencial","Exposição comunitária/outro")))</x:f>
      </x:c>
      <x:c r="Q101" s="16" t="str">
        <x:f>IF(A101="","",IF(P101="Pós-óbito","Sim","Não"))</x:f>
      </x:c>
    </x:row>
    <x:row r="102">
      <x:c r="A102" s="16" t="str"/>
      <x:c r="B102" s="16" t="str"/>
      <x:c r="C102" s="16" t="str"/>
      <x:c r="D102" s="28" t="str"/>
      <x:c r="E102" s="16" t="str"/>
      <x:c r="F102" s="16" t="str"/>
      <x:c r="G102" s="16" t="str"/>
      <x:c r="H102" s="16" t="str"/>
      <x:c r="I102" s="28" t="str"/>
      <x:c r="J102" s="28" t="str"/>
      <x:c r="K102" s="28" t="str"/>
      <x:c r="L102" s="16" t="str"/>
      <x:c r="M102" s="28" t="str">
        <x:f>IF(D102="","",D102+21)</x:f>
      </x:c>
      <x:c r="N102" s="16" t="str">
        <x:f>IF(M102="","",M102-TODAY())</x:f>
      </x:c>
      <x:c r="O102" s="16" t="str">
        <x:f>IF(A102="","",IF(OR(H102="Encerrado",H102="Descartado"),"Encerrado",IF(OR(H102="Sintomático",H102="Suspeito",H102="Confirmado",H102="Óbito"),"Requer avaliação/ação",IF(N102&lt;0,"Prazo concluído","Em monitoramento"))))</x:f>
      </x:c>
      <x:c r="P102" s="16" t="str">
        <x:f>IF(A102="","",IF(OR(E102="Manipulação do corpo",E102="Velório/funeral",E102="Sepultamento",E102="Limpeza/desinfecção"),"Pós-óbito",IF(OR(E102="Transporte do paciente",E102="Cuidado direto",E102="Contato com fluidos",E102="Serviço de saúde",E102="Laboratório"),"Exposição direta/assistencial","Exposição comunitária/outro")))</x:f>
      </x:c>
      <x:c r="Q102" s="16" t="str">
        <x:f>IF(A102="","",IF(P102="Pós-óbito","Sim","Não"))</x:f>
      </x:c>
    </x:row>
    <x:row r="103">
      <x:c r="A103" s="16" t="str"/>
      <x:c r="B103" s="16" t="str"/>
      <x:c r="C103" s="16" t="str"/>
      <x:c r="D103" s="28" t="str"/>
      <x:c r="E103" s="16" t="str"/>
      <x:c r="F103" s="16" t="str"/>
      <x:c r="G103" s="16" t="str"/>
      <x:c r="H103" s="16" t="str"/>
      <x:c r="I103" s="28" t="str"/>
      <x:c r="J103" s="28" t="str"/>
      <x:c r="K103" s="28" t="str"/>
      <x:c r="L103" s="16" t="str"/>
      <x:c r="M103" s="28" t="str">
        <x:f>IF(D103="","",D103+21)</x:f>
      </x:c>
      <x:c r="N103" s="16" t="str">
        <x:f>IF(M103="","",M103-TODAY())</x:f>
      </x:c>
      <x:c r="O103" s="16" t="str">
        <x:f>IF(A103="","",IF(OR(H103="Encerrado",H103="Descartado"),"Encerrado",IF(OR(H103="Sintomático",H103="Suspeito",H103="Confirmado",H103="Óbito"),"Requer avaliação/ação",IF(N103&lt;0,"Prazo concluído","Em monitoramento"))))</x:f>
      </x:c>
      <x:c r="P103" s="16" t="str">
        <x:f>IF(A103="","",IF(OR(E103="Manipulação do corpo",E103="Velório/funeral",E103="Sepultamento",E103="Limpeza/desinfecção"),"Pós-óbito",IF(OR(E103="Transporte do paciente",E103="Cuidado direto",E103="Contato com fluidos",E103="Serviço de saúde",E103="Laboratório"),"Exposição direta/assistencial","Exposição comunitária/outro")))</x:f>
      </x:c>
      <x:c r="Q103" s="16" t="str">
        <x:f>IF(A103="","",IF(P103="Pós-óbito","Sim","Não"))</x:f>
      </x:c>
    </x:row>
    <x:row r="104">
      <x:c r="A104" s="16" t="str"/>
      <x:c r="B104" s="16" t="str"/>
      <x:c r="C104" s="16" t="str"/>
      <x:c r="D104" s="28" t="str"/>
      <x:c r="E104" s="16" t="str"/>
      <x:c r="F104" s="16" t="str"/>
      <x:c r="G104" s="16" t="str"/>
      <x:c r="H104" s="16" t="str"/>
      <x:c r="I104" s="28" t="str"/>
      <x:c r="J104" s="28" t="str"/>
      <x:c r="K104" s="28" t="str"/>
      <x:c r="L104" s="16" t="str"/>
      <x:c r="M104" s="28" t="str">
        <x:f>IF(D104="","",D104+21)</x:f>
      </x:c>
      <x:c r="N104" s="16" t="str">
        <x:f>IF(M104="","",M104-TODAY())</x:f>
      </x:c>
      <x:c r="O104" s="16" t="str">
        <x:f>IF(A104="","",IF(OR(H104="Encerrado",H104="Descartado"),"Encerrado",IF(OR(H104="Sintomático",H104="Suspeito",H104="Confirmado",H104="Óbito"),"Requer avaliação/ação",IF(N104&lt;0,"Prazo concluído","Em monitoramento"))))</x:f>
      </x:c>
      <x:c r="P104" s="16" t="str">
        <x:f>IF(A104="","",IF(OR(E104="Manipulação do corpo",E104="Velório/funeral",E104="Sepultamento",E104="Limpeza/desinfecção"),"Pós-óbito",IF(OR(E104="Transporte do paciente",E104="Cuidado direto",E104="Contato com fluidos",E104="Serviço de saúde",E104="Laboratório"),"Exposição direta/assistencial","Exposição comunitária/outro")))</x:f>
      </x:c>
      <x:c r="Q104" s="16" t="str">
        <x:f>IF(A104="","",IF(P104="Pós-óbito","Sim","Não"))</x:f>
      </x:c>
    </x:row>
    <x:row r="105">
      <x:c r="A105" s="16" t="str"/>
      <x:c r="B105" s="16" t="str"/>
      <x:c r="C105" s="16" t="str"/>
      <x:c r="D105" s="28" t="str"/>
      <x:c r="E105" s="16" t="str"/>
      <x:c r="F105" s="16" t="str"/>
      <x:c r="G105" s="16" t="str"/>
      <x:c r="H105" s="16" t="str"/>
      <x:c r="I105" s="28" t="str"/>
      <x:c r="J105" s="28" t="str"/>
      <x:c r="K105" s="28" t="str"/>
      <x:c r="L105" s="16" t="str"/>
      <x:c r="M105" s="28" t="str">
        <x:f>IF(D105="","",D105+21)</x:f>
      </x:c>
      <x:c r="N105" s="16" t="str">
        <x:f>IF(M105="","",M105-TODAY())</x:f>
      </x:c>
      <x:c r="O105" s="16" t="str">
        <x:f>IF(A105="","",IF(OR(H105="Encerrado",H105="Descartado"),"Encerrado",IF(OR(H105="Sintomático",H105="Suspeito",H105="Confirmado",H105="Óbito"),"Requer avaliação/ação",IF(N105&lt;0,"Prazo concluído","Em monitoramento"))))</x:f>
      </x:c>
      <x:c r="P105" s="16" t="str">
        <x:f>IF(A105="","",IF(OR(E105="Manipulação do corpo",E105="Velório/funeral",E105="Sepultamento",E105="Limpeza/desinfecção"),"Pós-óbito",IF(OR(E105="Transporte do paciente",E105="Cuidado direto",E105="Contato com fluidos",E105="Serviço de saúde",E105="Laboratório"),"Exposição direta/assistencial","Exposição comunitária/outro")))</x:f>
      </x:c>
      <x:c r="Q105" s="16" t="str">
        <x:f>IF(A105="","",IF(P105="Pós-óbito","Sim","Não"))</x:f>
      </x:c>
    </x:row>
    <x:row r="106">
      <x:c r="A106" s="16" t="str"/>
      <x:c r="B106" s="16" t="str"/>
      <x:c r="C106" s="16" t="str"/>
      <x:c r="D106" s="28" t="str"/>
      <x:c r="E106" s="16" t="str"/>
      <x:c r="F106" s="16" t="str"/>
      <x:c r="G106" s="16" t="str"/>
      <x:c r="H106" s="16" t="str"/>
      <x:c r="I106" s="28" t="str"/>
      <x:c r="J106" s="28" t="str"/>
      <x:c r="K106" s="28" t="str"/>
      <x:c r="L106" s="16" t="str"/>
      <x:c r="M106" s="28" t="str">
        <x:f>IF(D106="","",D106+21)</x:f>
      </x:c>
      <x:c r="N106" s="16" t="str">
        <x:f>IF(M106="","",M106-TODAY())</x:f>
      </x:c>
      <x:c r="O106" s="16" t="str">
        <x:f>IF(A106="","",IF(OR(H106="Encerrado",H106="Descartado"),"Encerrado",IF(OR(H106="Sintomático",H106="Suspeito",H106="Confirmado",H106="Óbito"),"Requer avaliação/ação",IF(N106&lt;0,"Prazo concluído","Em monitoramento"))))</x:f>
      </x:c>
      <x:c r="P106" s="16" t="str">
        <x:f>IF(A106="","",IF(OR(E106="Manipulação do corpo",E106="Velório/funeral",E106="Sepultamento",E106="Limpeza/desinfecção"),"Pós-óbito",IF(OR(E106="Transporte do paciente",E106="Cuidado direto",E106="Contato com fluidos",E106="Serviço de saúde",E106="Laboratório"),"Exposição direta/assistencial","Exposição comunitária/outro")))</x:f>
      </x:c>
      <x:c r="Q106" s="16" t="str">
        <x:f>IF(A106="","",IF(P106="Pós-óbito","Sim","Não"))</x:f>
      </x:c>
    </x:row>
    <x:row r="107">
      <x:c r="A107" s="16" t="str"/>
      <x:c r="B107" s="16" t="str"/>
      <x:c r="C107" s="16" t="str"/>
      <x:c r="D107" s="28" t="str"/>
      <x:c r="E107" s="16" t="str"/>
      <x:c r="F107" s="16" t="str"/>
      <x:c r="G107" s="16" t="str"/>
      <x:c r="H107" s="16" t="str"/>
      <x:c r="I107" s="28" t="str"/>
      <x:c r="J107" s="28" t="str"/>
      <x:c r="K107" s="28" t="str"/>
      <x:c r="L107" s="16" t="str"/>
      <x:c r="M107" s="28" t="str">
        <x:f>IF(D107="","",D107+21)</x:f>
      </x:c>
      <x:c r="N107" s="16" t="str">
        <x:f>IF(M107="","",M107-TODAY())</x:f>
      </x:c>
      <x:c r="O107" s="16" t="str">
        <x:f>IF(A107="","",IF(OR(H107="Encerrado",H107="Descartado"),"Encerrado",IF(OR(H107="Sintomático",H107="Suspeito",H107="Confirmado",H107="Óbito"),"Requer avaliação/ação",IF(N107&lt;0,"Prazo concluído","Em monitoramento"))))</x:f>
      </x:c>
      <x:c r="P107" s="16" t="str">
        <x:f>IF(A107="","",IF(OR(E107="Manipulação do corpo",E107="Velório/funeral",E107="Sepultamento",E107="Limpeza/desinfecção"),"Pós-óbito",IF(OR(E107="Transporte do paciente",E107="Cuidado direto",E107="Contato com fluidos",E107="Serviço de saúde",E107="Laboratório"),"Exposição direta/assistencial","Exposição comunitária/outro")))</x:f>
      </x:c>
      <x:c r="Q107" s="16" t="str">
        <x:f>IF(A107="","",IF(P107="Pós-óbito","Sim","Não"))</x:f>
      </x:c>
    </x:row>
    <x:row r="108">
      <x:c r="A108" s="16" t="str"/>
      <x:c r="B108" s="16" t="str"/>
      <x:c r="C108" s="16" t="str"/>
      <x:c r="D108" s="28" t="str"/>
      <x:c r="E108" s="16" t="str"/>
      <x:c r="F108" s="16" t="str"/>
      <x:c r="G108" s="16" t="str"/>
      <x:c r="H108" s="16" t="str"/>
      <x:c r="I108" s="28" t="str"/>
      <x:c r="J108" s="28" t="str"/>
      <x:c r="K108" s="28" t="str"/>
      <x:c r="L108" s="16" t="str"/>
      <x:c r="M108" s="28" t="str">
        <x:f>IF(D108="","",D108+21)</x:f>
      </x:c>
      <x:c r="N108" s="16" t="str">
        <x:f>IF(M108="","",M108-TODAY())</x:f>
      </x:c>
      <x:c r="O108" s="16" t="str">
        <x:f>IF(A108="","",IF(OR(H108="Encerrado",H108="Descartado"),"Encerrado",IF(OR(H108="Sintomático",H108="Suspeito",H108="Confirmado",H108="Óbito"),"Requer avaliação/ação",IF(N108&lt;0,"Prazo concluído","Em monitoramento"))))</x:f>
      </x:c>
      <x:c r="P108" s="16" t="str">
        <x:f>IF(A108="","",IF(OR(E108="Manipulação do corpo",E108="Velório/funeral",E108="Sepultamento",E108="Limpeza/desinfecção"),"Pós-óbito",IF(OR(E108="Transporte do paciente",E108="Cuidado direto",E108="Contato com fluidos",E108="Serviço de saúde",E108="Laboratório"),"Exposição direta/assistencial","Exposição comunitária/outro")))</x:f>
      </x:c>
      <x:c r="Q108" s="16" t="str">
        <x:f>IF(A108="","",IF(P108="Pós-óbito","Sim","Não"))</x:f>
      </x:c>
    </x:row>
    <x:row r="109">
      <x:c r="A109" s="16" t="str"/>
      <x:c r="B109" s="16" t="str"/>
      <x:c r="C109" s="16" t="str"/>
      <x:c r="D109" s="28" t="str"/>
      <x:c r="E109" s="16" t="str"/>
      <x:c r="F109" s="16" t="str"/>
      <x:c r="G109" s="16" t="str"/>
      <x:c r="H109" s="16" t="str"/>
      <x:c r="I109" s="28" t="str"/>
      <x:c r="J109" s="28" t="str"/>
      <x:c r="K109" s="28" t="str"/>
      <x:c r="L109" s="16" t="str"/>
      <x:c r="M109" s="28" t="str">
        <x:f>IF(D109="","",D109+21)</x:f>
      </x:c>
      <x:c r="N109" s="16" t="str">
        <x:f>IF(M109="","",M109-TODAY())</x:f>
      </x:c>
      <x:c r="O109" s="16" t="str">
        <x:f>IF(A109="","",IF(OR(H109="Encerrado",H109="Descartado"),"Encerrado",IF(OR(H109="Sintomático",H109="Suspeito",H109="Confirmado",H109="Óbito"),"Requer avaliação/ação",IF(N109&lt;0,"Prazo concluído","Em monitoramento"))))</x:f>
      </x:c>
      <x:c r="P109" s="16" t="str">
        <x:f>IF(A109="","",IF(OR(E109="Manipulação do corpo",E109="Velório/funeral",E109="Sepultamento",E109="Limpeza/desinfecção"),"Pós-óbito",IF(OR(E109="Transporte do paciente",E109="Cuidado direto",E109="Contato com fluidos",E109="Serviço de saúde",E109="Laboratório"),"Exposição direta/assistencial","Exposição comunitária/outro")))</x:f>
      </x:c>
      <x:c r="Q109" s="16" t="str">
        <x:f>IF(A109="","",IF(P109="Pós-óbito","Sim","Não"))</x:f>
      </x:c>
    </x:row>
    <x:row r="110">
      <x:c r="A110" s="16" t="str"/>
      <x:c r="B110" s="16" t="str"/>
      <x:c r="C110" s="16" t="str"/>
      <x:c r="D110" s="28" t="str"/>
      <x:c r="E110" s="16" t="str"/>
      <x:c r="F110" s="16" t="str"/>
      <x:c r="G110" s="16" t="str"/>
      <x:c r="H110" s="16" t="str"/>
      <x:c r="I110" s="28" t="str"/>
      <x:c r="J110" s="28" t="str"/>
      <x:c r="K110" s="28" t="str"/>
      <x:c r="L110" s="16" t="str"/>
      <x:c r="M110" s="28" t="str">
        <x:f>IF(D110="","",D110+21)</x:f>
      </x:c>
      <x:c r="N110" s="16" t="str">
        <x:f>IF(M110="","",M110-TODAY())</x:f>
      </x:c>
      <x:c r="O110" s="16" t="str">
        <x:f>IF(A110="","",IF(OR(H110="Encerrado",H110="Descartado"),"Encerrado",IF(OR(H110="Sintomático",H110="Suspeito",H110="Confirmado",H110="Óbito"),"Requer avaliação/ação",IF(N110&lt;0,"Prazo concluído","Em monitoramento"))))</x:f>
      </x:c>
      <x:c r="P110" s="16" t="str">
        <x:f>IF(A110="","",IF(OR(E110="Manipulação do corpo",E110="Velório/funeral",E110="Sepultamento",E110="Limpeza/desinfecção"),"Pós-óbito",IF(OR(E110="Transporte do paciente",E110="Cuidado direto",E110="Contato com fluidos",E110="Serviço de saúde",E110="Laboratório"),"Exposição direta/assistencial","Exposição comunitária/outro")))</x:f>
      </x:c>
      <x:c r="Q110" s="16" t="str">
        <x:f>IF(A110="","",IF(P110="Pós-óbito","Sim","Não"))</x:f>
      </x:c>
    </x:row>
    <x:row r="111">
      <x:c r="A111" s="16" t="str"/>
      <x:c r="B111" s="16" t="str"/>
      <x:c r="C111" s="16" t="str"/>
      <x:c r="D111" s="28" t="str"/>
      <x:c r="E111" s="16" t="str"/>
      <x:c r="F111" s="16" t="str"/>
      <x:c r="G111" s="16" t="str"/>
      <x:c r="H111" s="16" t="str"/>
      <x:c r="I111" s="28" t="str"/>
      <x:c r="J111" s="28" t="str"/>
      <x:c r="K111" s="28" t="str"/>
      <x:c r="L111" s="16" t="str"/>
      <x:c r="M111" s="28" t="str">
        <x:f>IF(D111="","",D111+21)</x:f>
      </x:c>
      <x:c r="N111" s="16" t="str">
        <x:f>IF(M111="","",M111-TODAY())</x:f>
      </x:c>
      <x:c r="O111" s="16" t="str">
        <x:f>IF(A111="","",IF(OR(H111="Encerrado",H111="Descartado"),"Encerrado",IF(OR(H111="Sintomático",H111="Suspeito",H111="Confirmado",H111="Óbito"),"Requer avaliação/ação",IF(N111&lt;0,"Prazo concluído","Em monitoramento"))))</x:f>
      </x:c>
      <x:c r="P111" s="16" t="str">
        <x:f>IF(A111="","",IF(OR(E111="Manipulação do corpo",E111="Velório/funeral",E111="Sepultamento",E111="Limpeza/desinfecção"),"Pós-óbito",IF(OR(E111="Transporte do paciente",E111="Cuidado direto",E111="Contato com fluidos",E111="Serviço de saúde",E111="Laboratório"),"Exposição direta/assistencial","Exposição comunitária/outro")))</x:f>
      </x:c>
      <x:c r="Q111" s="16" t="str">
        <x:f>IF(A111="","",IF(P111="Pós-óbito","Sim","Não"))</x:f>
      </x:c>
    </x:row>
    <x:row r="112">
      <x:c r="A112" s="16" t="str"/>
      <x:c r="B112" s="16" t="str"/>
      <x:c r="C112" s="16" t="str"/>
      <x:c r="D112" s="28" t="str"/>
      <x:c r="E112" s="16" t="str"/>
      <x:c r="F112" s="16" t="str"/>
      <x:c r="G112" s="16" t="str"/>
      <x:c r="H112" s="16" t="str"/>
      <x:c r="I112" s="28" t="str"/>
      <x:c r="J112" s="28" t="str"/>
      <x:c r="K112" s="28" t="str"/>
      <x:c r="L112" s="16" t="str"/>
      <x:c r="M112" s="28" t="str">
        <x:f>IF(D112="","",D112+21)</x:f>
      </x:c>
      <x:c r="N112" s="16" t="str">
        <x:f>IF(M112="","",M112-TODAY())</x:f>
      </x:c>
      <x:c r="O112" s="16" t="str">
        <x:f>IF(A112="","",IF(OR(H112="Encerrado",H112="Descartado"),"Encerrado",IF(OR(H112="Sintomático",H112="Suspeito",H112="Confirmado",H112="Óbito"),"Requer avaliação/ação",IF(N112&lt;0,"Prazo concluído","Em monitoramento"))))</x:f>
      </x:c>
      <x:c r="P112" s="16" t="str">
        <x:f>IF(A112="","",IF(OR(E112="Manipulação do corpo",E112="Velório/funeral",E112="Sepultamento",E112="Limpeza/desinfecção"),"Pós-óbito",IF(OR(E112="Transporte do paciente",E112="Cuidado direto",E112="Contato com fluidos",E112="Serviço de saúde",E112="Laboratório"),"Exposição direta/assistencial","Exposição comunitária/outro")))</x:f>
      </x:c>
      <x:c r="Q112" s="16" t="str">
        <x:f>IF(A112="","",IF(P112="Pós-óbito","Sim","Não"))</x:f>
      </x:c>
    </x:row>
    <x:row r="113">
      <x:c r="A113" s="16" t="str"/>
      <x:c r="B113" s="16" t="str"/>
      <x:c r="C113" s="16" t="str"/>
      <x:c r="D113" s="28" t="str"/>
      <x:c r="E113" s="16" t="str"/>
      <x:c r="F113" s="16" t="str"/>
      <x:c r="G113" s="16" t="str"/>
      <x:c r="H113" s="16" t="str"/>
      <x:c r="I113" s="28" t="str"/>
      <x:c r="J113" s="28" t="str"/>
      <x:c r="K113" s="28" t="str"/>
      <x:c r="L113" s="16" t="str"/>
      <x:c r="M113" s="28" t="str">
        <x:f>IF(D113="","",D113+21)</x:f>
      </x:c>
      <x:c r="N113" s="16" t="str">
        <x:f>IF(M113="","",M113-TODAY())</x:f>
      </x:c>
      <x:c r="O113" s="16" t="str">
        <x:f>IF(A113="","",IF(OR(H113="Encerrado",H113="Descartado"),"Encerrado",IF(OR(H113="Sintomático",H113="Suspeito",H113="Confirmado",H113="Óbito"),"Requer avaliação/ação",IF(N113&lt;0,"Prazo concluído","Em monitoramento"))))</x:f>
      </x:c>
      <x:c r="P113" s="16" t="str">
        <x:f>IF(A113="","",IF(OR(E113="Manipulação do corpo",E113="Velório/funeral",E113="Sepultamento",E113="Limpeza/desinfecção"),"Pós-óbito",IF(OR(E113="Transporte do paciente",E113="Cuidado direto",E113="Contato com fluidos",E113="Serviço de saúde",E113="Laboratório"),"Exposição direta/assistencial","Exposição comunitária/outro")))</x:f>
      </x:c>
      <x:c r="Q113" s="16" t="str">
        <x:f>IF(A113="","",IF(P113="Pós-óbito","Sim","Não"))</x:f>
      </x:c>
    </x:row>
    <x:row r="114">
      <x:c r="A114" s="16" t="str"/>
      <x:c r="B114" s="16" t="str"/>
      <x:c r="C114" s="16" t="str"/>
      <x:c r="D114" s="28" t="str"/>
      <x:c r="E114" s="16" t="str"/>
      <x:c r="F114" s="16" t="str"/>
      <x:c r="G114" s="16" t="str"/>
      <x:c r="H114" s="16" t="str"/>
      <x:c r="I114" s="28" t="str"/>
      <x:c r="J114" s="28" t="str"/>
      <x:c r="K114" s="28" t="str"/>
      <x:c r="L114" s="16" t="str"/>
      <x:c r="M114" s="28" t="str">
        <x:f>IF(D114="","",D114+21)</x:f>
      </x:c>
      <x:c r="N114" s="16" t="str">
        <x:f>IF(M114="","",M114-TODAY())</x:f>
      </x:c>
      <x:c r="O114" s="16" t="str">
        <x:f>IF(A114="","",IF(OR(H114="Encerrado",H114="Descartado"),"Encerrado",IF(OR(H114="Sintomático",H114="Suspeito",H114="Confirmado",H114="Óbito"),"Requer avaliação/ação",IF(N114&lt;0,"Prazo concluído","Em monitoramento"))))</x:f>
      </x:c>
      <x:c r="P114" s="16" t="str">
        <x:f>IF(A114="","",IF(OR(E114="Manipulação do corpo",E114="Velório/funeral",E114="Sepultamento",E114="Limpeza/desinfecção"),"Pós-óbito",IF(OR(E114="Transporte do paciente",E114="Cuidado direto",E114="Contato com fluidos",E114="Serviço de saúde",E114="Laboratório"),"Exposição direta/assistencial","Exposição comunitária/outro")))</x:f>
      </x:c>
      <x:c r="Q114" s="16" t="str">
        <x:f>IF(A114="","",IF(P114="Pós-óbito","Sim","Não"))</x:f>
      </x:c>
    </x:row>
    <x:row r="115">
      <x:c r="A115" s="16" t="str"/>
      <x:c r="B115" s="16" t="str"/>
      <x:c r="C115" s="16" t="str"/>
      <x:c r="D115" s="28" t="str"/>
      <x:c r="E115" s="16" t="str"/>
      <x:c r="F115" s="16" t="str"/>
      <x:c r="G115" s="16" t="str"/>
      <x:c r="H115" s="16" t="str"/>
      <x:c r="I115" s="28" t="str"/>
      <x:c r="J115" s="28" t="str"/>
      <x:c r="K115" s="28" t="str"/>
      <x:c r="L115" s="16" t="str"/>
      <x:c r="M115" s="28" t="str">
        <x:f>IF(D115="","",D115+21)</x:f>
      </x:c>
      <x:c r="N115" s="16" t="str">
        <x:f>IF(M115="","",M115-TODAY())</x:f>
      </x:c>
      <x:c r="O115" s="16" t="str">
        <x:f>IF(A115="","",IF(OR(H115="Encerrado",H115="Descartado"),"Encerrado",IF(OR(H115="Sintomático",H115="Suspeito",H115="Confirmado",H115="Óbito"),"Requer avaliação/ação",IF(N115&lt;0,"Prazo concluído","Em monitoramento"))))</x:f>
      </x:c>
      <x:c r="P115" s="16" t="str">
        <x:f>IF(A115="","",IF(OR(E115="Manipulação do corpo",E115="Velório/funeral",E115="Sepultamento",E115="Limpeza/desinfecção"),"Pós-óbito",IF(OR(E115="Transporte do paciente",E115="Cuidado direto",E115="Contato com fluidos",E115="Serviço de saúde",E115="Laboratório"),"Exposição direta/assistencial","Exposição comunitária/outro")))</x:f>
      </x:c>
      <x:c r="Q115" s="16" t="str">
        <x:f>IF(A115="","",IF(P115="Pós-óbito","Sim","Não"))</x:f>
      </x:c>
    </x:row>
    <x:row r="116">
      <x:c r="A116" s="16" t="str"/>
      <x:c r="B116" s="16" t="str"/>
      <x:c r="C116" s="16" t="str"/>
      <x:c r="D116" s="28" t="str"/>
      <x:c r="E116" s="16" t="str"/>
      <x:c r="F116" s="16" t="str"/>
      <x:c r="G116" s="16" t="str"/>
      <x:c r="H116" s="16" t="str"/>
      <x:c r="I116" s="28" t="str"/>
      <x:c r="J116" s="28" t="str"/>
      <x:c r="K116" s="28" t="str"/>
      <x:c r="L116" s="16" t="str"/>
      <x:c r="M116" s="28" t="str">
        <x:f>IF(D116="","",D116+21)</x:f>
      </x:c>
      <x:c r="N116" s="16" t="str">
        <x:f>IF(M116="","",M116-TODAY())</x:f>
      </x:c>
      <x:c r="O116" s="16" t="str">
        <x:f>IF(A116="","",IF(OR(H116="Encerrado",H116="Descartado"),"Encerrado",IF(OR(H116="Sintomático",H116="Suspeito",H116="Confirmado",H116="Óbito"),"Requer avaliação/ação",IF(N116&lt;0,"Prazo concluído","Em monitoramento"))))</x:f>
      </x:c>
      <x:c r="P116" s="16" t="str">
        <x:f>IF(A116="","",IF(OR(E116="Manipulação do corpo",E116="Velório/funeral",E116="Sepultamento",E116="Limpeza/desinfecção"),"Pós-óbito",IF(OR(E116="Transporte do paciente",E116="Cuidado direto",E116="Contato com fluidos",E116="Serviço de saúde",E116="Laboratório"),"Exposição direta/assistencial","Exposição comunitária/outro")))</x:f>
      </x:c>
      <x:c r="Q116" s="16" t="str">
        <x:f>IF(A116="","",IF(P116="Pós-óbito","Sim","Não"))</x:f>
      </x:c>
    </x:row>
    <x:row r="117">
      <x:c r="A117" s="16" t="str"/>
      <x:c r="B117" s="16" t="str"/>
      <x:c r="C117" s="16" t="str"/>
      <x:c r="D117" s="28" t="str"/>
      <x:c r="E117" s="16" t="str"/>
      <x:c r="F117" s="16" t="str"/>
      <x:c r="G117" s="16" t="str"/>
      <x:c r="H117" s="16" t="str"/>
      <x:c r="I117" s="28" t="str"/>
      <x:c r="J117" s="28" t="str"/>
      <x:c r="K117" s="28" t="str"/>
      <x:c r="L117" s="16" t="str"/>
      <x:c r="M117" s="28" t="str">
        <x:f>IF(D117="","",D117+21)</x:f>
      </x:c>
      <x:c r="N117" s="16" t="str">
        <x:f>IF(M117="","",M117-TODAY())</x:f>
      </x:c>
      <x:c r="O117" s="16" t="str">
        <x:f>IF(A117="","",IF(OR(H117="Encerrado",H117="Descartado"),"Encerrado",IF(OR(H117="Sintomático",H117="Suspeito",H117="Confirmado",H117="Óbito"),"Requer avaliação/ação",IF(N117&lt;0,"Prazo concluído","Em monitoramento"))))</x:f>
      </x:c>
      <x:c r="P117" s="16" t="str">
        <x:f>IF(A117="","",IF(OR(E117="Manipulação do corpo",E117="Velório/funeral",E117="Sepultamento",E117="Limpeza/desinfecção"),"Pós-óbito",IF(OR(E117="Transporte do paciente",E117="Cuidado direto",E117="Contato com fluidos",E117="Serviço de saúde",E117="Laboratório"),"Exposição direta/assistencial","Exposição comunitária/outro")))</x:f>
      </x:c>
      <x:c r="Q117" s="16" t="str">
        <x:f>IF(A117="","",IF(P117="Pós-óbito","Sim","Não"))</x:f>
      </x:c>
    </x:row>
    <x:row r="118">
      <x:c r="A118" s="16" t="str"/>
      <x:c r="B118" s="16" t="str"/>
      <x:c r="C118" s="16" t="str"/>
      <x:c r="D118" s="28" t="str"/>
      <x:c r="E118" s="16" t="str"/>
      <x:c r="F118" s="16" t="str"/>
      <x:c r="G118" s="16" t="str"/>
      <x:c r="H118" s="16" t="str"/>
      <x:c r="I118" s="28" t="str"/>
      <x:c r="J118" s="28" t="str"/>
      <x:c r="K118" s="28" t="str"/>
      <x:c r="L118" s="16" t="str"/>
      <x:c r="M118" s="28" t="str">
        <x:f>IF(D118="","",D118+21)</x:f>
      </x:c>
      <x:c r="N118" s="16" t="str">
        <x:f>IF(M118="","",M118-TODAY())</x:f>
      </x:c>
      <x:c r="O118" s="16" t="str">
        <x:f>IF(A118="","",IF(OR(H118="Encerrado",H118="Descartado"),"Encerrado",IF(OR(H118="Sintomático",H118="Suspeito",H118="Confirmado",H118="Óbito"),"Requer avaliação/ação",IF(N118&lt;0,"Prazo concluído","Em monitoramento"))))</x:f>
      </x:c>
      <x:c r="P118" s="16" t="str">
        <x:f>IF(A118="","",IF(OR(E118="Manipulação do corpo",E118="Velório/funeral",E118="Sepultamento",E118="Limpeza/desinfecção"),"Pós-óbito",IF(OR(E118="Transporte do paciente",E118="Cuidado direto",E118="Contato com fluidos",E118="Serviço de saúde",E118="Laboratório"),"Exposição direta/assistencial","Exposição comunitária/outro")))</x:f>
      </x:c>
      <x:c r="Q118" s="16" t="str">
        <x:f>IF(A118="","",IF(P118="Pós-óbito","Sim","Não"))</x:f>
      </x:c>
    </x:row>
    <x:row r="119">
      <x:c r="A119" s="16" t="str"/>
      <x:c r="B119" s="16" t="str"/>
      <x:c r="C119" s="16" t="str"/>
      <x:c r="D119" s="28" t="str"/>
      <x:c r="E119" s="16" t="str"/>
      <x:c r="F119" s="16" t="str"/>
      <x:c r="G119" s="16" t="str"/>
      <x:c r="H119" s="16" t="str"/>
      <x:c r="I119" s="28" t="str"/>
      <x:c r="J119" s="28" t="str"/>
      <x:c r="K119" s="28" t="str"/>
      <x:c r="L119" s="16" t="str"/>
      <x:c r="M119" s="28" t="str">
        <x:f>IF(D119="","",D119+21)</x:f>
      </x:c>
      <x:c r="N119" s="16" t="str">
        <x:f>IF(M119="","",M119-TODAY())</x:f>
      </x:c>
      <x:c r="O119" s="16" t="str">
        <x:f>IF(A119="","",IF(OR(H119="Encerrado",H119="Descartado"),"Encerrado",IF(OR(H119="Sintomático",H119="Suspeito",H119="Confirmado",H119="Óbito"),"Requer avaliação/ação",IF(N119&lt;0,"Prazo concluído","Em monitoramento"))))</x:f>
      </x:c>
      <x:c r="P119" s="16" t="str">
        <x:f>IF(A119="","",IF(OR(E119="Manipulação do corpo",E119="Velório/funeral",E119="Sepultamento",E119="Limpeza/desinfecção"),"Pós-óbito",IF(OR(E119="Transporte do paciente",E119="Cuidado direto",E119="Contato com fluidos",E119="Serviço de saúde",E119="Laboratório"),"Exposição direta/assistencial","Exposição comunitária/outro")))</x:f>
      </x:c>
      <x:c r="Q119" s="16" t="str">
        <x:f>IF(A119="","",IF(P119="Pós-óbito","Sim","Não"))</x:f>
      </x:c>
    </x:row>
    <x:row r="120">
      <x:c r="A120" s="16" t="str"/>
      <x:c r="B120" s="16" t="str"/>
      <x:c r="C120" s="16" t="str"/>
      <x:c r="D120" s="28" t="str"/>
      <x:c r="E120" s="16" t="str"/>
      <x:c r="F120" s="16" t="str"/>
      <x:c r="G120" s="16" t="str"/>
      <x:c r="H120" s="16" t="str"/>
      <x:c r="I120" s="28" t="str"/>
      <x:c r="J120" s="28" t="str"/>
      <x:c r="K120" s="28" t="str"/>
      <x:c r="L120" s="16" t="str"/>
      <x:c r="M120" s="28" t="str">
        <x:f>IF(D120="","",D120+21)</x:f>
      </x:c>
      <x:c r="N120" s="16" t="str">
        <x:f>IF(M120="","",M120-TODAY())</x:f>
      </x:c>
      <x:c r="O120" s="16" t="str">
        <x:f>IF(A120="","",IF(OR(H120="Encerrado",H120="Descartado"),"Encerrado",IF(OR(H120="Sintomático",H120="Suspeito",H120="Confirmado",H120="Óbito"),"Requer avaliação/ação",IF(N120&lt;0,"Prazo concluído","Em monitoramento"))))</x:f>
      </x:c>
      <x:c r="P120" s="16" t="str">
        <x:f>IF(A120="","",IF(OR(E120="Manipulação do corpo",E120="Velório/funeral",E120="Sepultamento",E120="Limpeza/desinfecção"),"Pós-óbito",IF(OR(E120="Transporte do paciente",E120="Cuidado direto",E120="Contato com fluidos",E120="Serviço de saúde",E120="Laboratório"),"Exposição direta/assistencial","Exposição comunitária/outro")))</x:f>
      </x:c>
      <x:c r="Q120" s="16" t="str">
        <x:f>IF(A120="","",IF(P120="Pós-óbito","Sim","Não"))</x:f>
      </x:c>
    </x:row>
    <x:row r="121">
      <x:c r="A121" s="16" t="str"/>
      <x:c r="B121" s="16" t="str"/>
      <x:c r="C121" s="16" t="str"/>
      <x:c r="D121" s="28" t="str"/>
      <x:c r="E121" s="16" t="str"/>
      <x:c r="F121" s="16" t="str"/>
      <x:c r="G121" s="16" t="str"/>
      <x:c r="H121" s="16" t="str"/>
      <x:c r="I121" s="28" t="str"/>
      <x:c r="J121" s="28" t="str"/>
      <x:c r="K121" s="28" t="str"/>
      <x:c r="L121" s="16" t="str"/>
      <x:c r="M121" s="28" t="str">
        <x:f>IF(D121="","",D121+21)</x:f>
      </x:c>
      <x:c r="N121" s="16" t="str">
        <x:f>IF(M121="","",M121-TODAY())</x:f>
      </x:c>
      <x:c r="O121" s="16" t="str">
        <x:f>IF(A121="","",IF(OR(H121="Encerrado",H121="Descartado"),"Encerrado",IF(OR(H121="Sintomático",H121="Suspeito",H121="Confirmado",H121="Óbito"),"Requer avaliação/ação",IF(N121&lt;0,"Prazo concluído","Em monitoramento"))))</x:f>
      </x:c>
      <x:c r="P121" s="16" t="str">
        <x:f>IF(A121="","",IF(OR(E121="Manipulação do corpo",E121="Velório/funeral",E121="Sepultamento",E121="Limpeza/desinfecção"),"Pós-óbito",IF(OR(E121="Transporte do paciente",E121="Cuidado direto",E121="Contato com fluidos",E121="Serviço de saúde",E121="Laboratório"),"Exposição direta/assistencial","Exposição comunitária/outro")))</x:f>
      </x:c>
      <x:c r="Q121" s="16" t="str">
        <x:f>IF(A121="","",IF(P121="Pós-óbito","Sim","Não"))</x:f>
      </x:c>
    </x:row>
    <x:row r="122">
      <x:c r="A122" s="16" t="str"/>
      <x:c r="B122" s="16" t="str"/>
      <x:c r="C122" s="16" t="str"/>
      <x:c r="D122" s="28" t="str"/>
      <x:c r="E122" s="16" t="str"/>
      <x:c r="F122" s="16" t="str"/>
      <x:c r="G122" s="16" t="str"/>
      <x:c r="H122" s="16" t="str"/>
      <x:c r="I122" s="28" t="str"/>
      <x:c r="J122" s="28" t="str"/>
      <x:c r="K122" s="28" t="str"/>
      <x:c r="L122" s="16" t="str"/>
      <x:c r="M122" s="28" t="str">
        <x:f>IF(D122="","",D122+21)</x:f>
      </x:c>
      <x:c r="N122" s="16" t="str">
        <x:f>IF(M122="","",M122-TODAY())</x:f>
      </x:c>
      <x:c r="O122" s="16" t="str">
        <x:f>IF(A122="","",IF(OR(H122="Encerrado",H122="Descartado"),"Encerrado",IF(OR(H122="Sintomático",H122="Suspeito",H122="Confirmado",H122="Óbito"),"Requer avaliação/ação",IF(N122&lt;0,"Prazo concluído","Em monitoramento"))))</x:f>
      </x:c>
      <x:c r="P122" s="16" t="str">
        <x:f>IF(A122="","",IF(OR(E122="Manipulação do corpo",E122="Velório/funeral",E122="Sepultamento",E122="Limpeza/desinfecção"),"Pós-óbito",IF(OR(E122="Transporte do paciente",E122="Cuidado direto",E122="Contato com fluidos",E122="Serviço de saúde",E122="Laboratório"),"Exposição direta/assistencial","Exposição comunitária/outro")))</x:f>
      </x:c>
      <x:c r="Q122" s="16" t="str">
        <x:f>IF(A122="","",IF(P122="Pós-óbito","Sim","Não"))</x:f>
      </x:c>
    </x:row>
    <x:row r="123">
      <x:c r="A123" s="16" t="str"/>
      <x:c r="B123" s="16" t="str"/>
      <x:c r="C123" s="16" t="str"/>
      <x:c r="D123" s="28" t="str"/>
      <x:c r="E123" s="16" t="str"/>
      <x:c r="F123" s="16" t="str"/>
      <x:c r="G123" s="16" t="str"/>
      <x:c r="H123" s="16" t="str"/>
      <x:c r="I123" s="28" t="str"/>
      <x:c r="J123" s="28" t="str"/>
      <x:c r="K123" s="28" t="str"/>
      <x:c r="L123" s="16" t="str"/>
      <x:c r="M123" s="28" t="str">
        <x:f>IF(D123="","",D123+21)</x:f>
      </x:c>
      <x:c r="N123" s="16" t="str">
        <x:f>IF(M123="","",M123-TODAY())</x:f>
      </x:c>
      <x:c r="O123" s="16" t="str">
        <x:f>IF(A123="","",IF(OR(H123="Encerrado",H123="Descartado"),"Encerrado",IF(OR(H123="Sintomático",H123="Suspeito",H123="Confirmado",H123="Óbito"),"Requer avaliação/ação",IF(N123&lt;0,"Prazo concluído","Em monitoramento"))))</x:f>
      </x:c>
      <x:c r="P123" s="16" t="str">
        <x:f>IF(A123="","",IF(OR(E123="Manipulação do corpo",E123="Velório/funeral",E123="Sepultamento",E123="Limpeza/desinfecção"),"Pós-óbito",IF(OR(E123="Transporte do paciente",E123="Cuidado direto",E123="Contato com fluidos",E123="Serviço de saúde",E123="Laboratório"),"Exposição direta/assistencial","Exposição comunitária/outro")))</x:f>
      </x:c>
      <x:c r="Q123" s="16" t="str">
        <x:f>IF(A123="","",IF(P123="Pós-óbito","Sim","Não"))</x:f>
      </x:c>
    </x:row>
    <x:row r="124">
      <x:c r="A124" s="16" t="str"/>
      <x:c r="B124" s="16" t="str"/>
      <x:c r="C124" s="16" t="str"/>
      <x:c r="D124" s="28" t="str"/>
      <x:c r="E124" s="16" t="str"/>
      <x:c r="F124" s="16" t="str"/>
      <x:c r="G124" s="16" t="str"/>
      <x:c r="H124" s="16" t="str"/>
      <x:c r="I124" s="28" t="str"/>
      <x:c r="J124" s="28" t="str"/>
      <x:c r="K124" s="28" t="str"/>
      <x:c r="L124" s="16" t="str"/>
      <x:c r="M124" s="28" t="str">
        <x:f>IF(D124="","",D124+21)</x:f>
      </x:c>
      <x:c r="N124" s="16" t="str">
        <x:f>IF(M124="","",M124-TODAY())</x:f>
      </x:c>
      <x:c r="O124" s="16" t="str">
        <x:f>IF(A124="","",IF(OR(H124="Encerrado",H124="Descartado"),"Encerrado",IF(OR(H124="Sintomático",H124="Suspeito",H124="Confirmado",H124="Óbito"),"Requer avaliação/ação",IF(N124&lt;0,"Prazo concluído","Em monitoramento"))))</x:f>
      </x:c>
      <x:c r="P124" s="16" t="str">
        <x:f>IF(A124="","",IF(OR(E124="Manipulação do corpo",E124="Velório/funeral",E124="Sepultamento",E124="Limpeza/desinfecção"),"Pós-óbito",IF(OR(E124="Transporte do paciente",E124="Cuidado direto",E124="Contato com fluidos",E124="Serviço de saúde",E124="Laboratório"),"Exposição direta/assistencial","Exposição comunitária/outro")))</x:f>
      </x:c>
      <x:c r="Q124" s="16" t="str">
        <x:f>IF(A124="","",IF(P124="Pós-óbito","Sim","Não"))</x:f>
      </x:c>
    </x:row>
    <x:row r="125">
      <x:c r="A125" s="16" t="str"/>
      <x:c r="B125" s="16" t="str"/>
      <x:c r="C125" s="16" t="str"/>
      <x:c r="D125" s="28" t="str"/>
      <x:c r="E125" s="16" t="str"/>
      <x:c r="F125" s="16" t="str"/>
      <x:c r="G125" s="16" t="str"/>
      <x:c r="H125" s="16" t="str"/>
      <x:c r="I125" s="28" t="str"/>
      <x:c r="J125" s="28" t="str"/>
      <x:c r="K125" s="28" t="str"/>
      <x:c r="L125" s="16" t="str"/>
      <x:c r="M125" s="28" t="str">
        <x:f>IF(D125="","",D125+21)</x:f>
      </x:c>
      <x:c r="N125" s="16" t="str">
        <x:f>IF(M125="","",M125-TODAY())</x:f>
      </x:c>
      <x:c r="O125" s="16" t="str">
        <x:f>IF(A125="","",IF(OR(H125="Encerrado",H125="Descartado"),"Encerrado",IF(OR(H125="Sintomático",H125="Suspeito",H125="Confirmado",H125="Óbito"),"Requer avaliação/ação",IF(N125&lt;0,"Prazo concluído","Em monitoramento"))))</x:f>
      </x:c>
      <x:c r="P125" s="16" t="str">
        <x:f>IF(A125="","",IF(OR(E125="Manipulação do corpo",E125="Velório/funeral",E125="Sepultamento",E125="Limpeza/desinfecção"),"Pós-óbito",IF(OR(E125="Transporte do paciente",E125="Cuidado direto",E125="Contato com fluidos",E125="Serviço de saúde",E125="Laboratório"),"Exposição direta/assistencial","Exposição comunitária/outro")))</x:f>
      </x:c>
      <x:c r="Q125" s="16" t="str">
        <x:f>IF(A125="","",IF(P125="Pós-óbito","Sim","Não"))</x:f>
      </x:c>
    </x:row>
    <x:row r="126">
      <x:c r="A126" s="16" t="str"/>
      <x:c r="B126" s="16" t="str"/>
      <x:c r="C126" s="16" t="str"/>
      <x:c r="D126" s="28" t="str"/>
      <x:c r="E126" s="16" t="str"/>
      <x:c r="F126" s="16" t="str"/>
      <x:c r="G126" s="16" t="str"/>
      <x:c r="H126" s="16" t="str"/>
      <x:c r="I126" s="28" t="str"/>
      <x:c r="J126" s="28" t="str"/>
      <x:c r="K126" s="28" t="str"/>
      <x:c r="L126" s="16" t="str"/>
      <x:c r="M126" s="28" t="str">
        <x:f>IF(D126="","",D126+21)</x:f>
      </x:c>
      <x:c r="N126" s="16" t="str">
        <x:f>IF(M126="","",M126-TODAY())</x:f>
      </x:c>
      <x:c r="O126" s="16" t="str">
        <x:f>IF(A126="","",IF(OR(H126="Encerrado",H126="Descartado"),"Encerrado",IF(OR(H126="Sintomático",H126="Suspeito",H126="Confirmado",H126="Óbito"),"Requer avaliação/ação",IF(N126&lt;0,"Prazo concluído","Em monitoramento"))))</x:f>
      </x:c>
      <x:c r="P126" s="16" t="str">
        <x:f>IF(A126="","",IF(OR(E126="Manipulação do corpo",E126="Velório/funeral",E126="Sepultamento",E126="Limpeza/desinfecção"),"Pós-óbito",IF(OR(E126="Transporte do paciente",E126="Cuidado direto",E126="Contato com fluidos",E126="Serviço de saúde",E126="Laboratório"),"Exposição direta/assistencial","Exposição comunitária/outro")))</x:f>
      </x:c>
      <x:c r="Q126" s="16" t="str">
        <x:f>IF(A126="","",IF(P126="Pós-óbito","Sim","Não"))</x:f>
      </x:c>
    </x:row>
    <x:row r="127">
      <x:c r="A127" s="16" t="str"/>
      <x:c r="B127" s="16" t="str"/>
      <x:c r="C127" s="16" t="str"/>
      <x:c r="D127" s="28" t="str"/>
      <x:c r="E127" s="16" t="str"/>
      <x:c r="F127" s="16" t="str"/>
      <x:c r="G127" s="16" t="str"/>
      <x:c r="H127" s="16" t="str"/>
      <x:c r="I127" s="28" t="str"/>
      <x:c r="J127" s="28" t="str"/>
      <x:c r="K127" s="28" t="str"/>
      <x:c r="L127" s="16" t="str"/>
      <x:c r="M127" s="28" t="str">
        <x:f>IF(D127="","",D127+21)</x:f>
      </x:c>
      <x:c r="N127" s="16" t="str">
        <x:f>IF(M127="","",M127-TODAY())</x:f>
      </x:c>
      <x:c r="O127" s="16" t="str">
        <x:f>IF(A127="","",IF(OR(H127="Encerrado",H127="Descartado"),"Encerrado",IF(OR(H127="Sintomático",H127="Suspeito",H127="Confirmado",H127="Óbito"),"Requer avaliação/ação",IF(N127&lt;0,"Prazo concluído","Em monitoramento"))))</x:f>
      </x:c>
      <x:c r="P127" s="16" t="str">
        <x:f>IF(A127="","",IF(OR(E127="Manipulação do corpo",E127="Velório/funeral",E127="Sepultamento",E127="Limpeza/desinfecção"),"Pós-óbito",IF(OR(E127="Transporte do paciente",E127="Cuidado direto",E127="Contato com fluidos",E127="Serviço de saúde",E127="Laboratório"),"Exposição direta/assistencial","Exposição comunitária/outro")))</x:f>
      </x:c>
      <x:c r="Q127" s="16" t="str">
        <x:f>IF(A127="","",IF(P127="Pós-óbito","Sim","Não"))</x:f>
      </x:c>
    </x:row>
    <x:row r="128">
      <x:c r="A128" s="16" t="str"/>
      <x:c r="B128" s="16" t="str"/>
      <x:c r="C128" s="16" t="str"/>
      <x:c r="D128" s="28" t="str"/>
      <x:c r="E128" s="16" t="str"/>
      <x:c r="F128" s="16" t="str"/>
      <x:c r="G128" s="16" t="str"/>
      <x:c r="H128" s="16" t="str"/>
      <x:c r="I128" s="28" t="str"/>
      <x:c r="J128" s="28" t="str"/>
      <x:c r="K128" s="28" t="str"/>
      <x:c r="L128" s="16" t="str"/>
      <x:c r="M128" s="28" t="str">
        <x:f>IF(D128="","",D128+21)</x:f>
      </x:c>
      <x:c r="N128" s="16" t="str">
        <x:f>IF(M128="","",M128-TODAY())</x:f>
      </x:c>
      <x:c r="O128" s="16" t="str">
        <x:f>IF(A128="","",IF(OR(H128="Encerrado",H128="Descartado"),"Encerrado",IF(OR(H128="Sintomático",H128="Suspeito",H128="Confirmado",H128="Óbito"),"Requer avaliação/ação",IF(N128&lt;0,"Prazo concluído","Em monitoramento"))))</x:f>
      </x:c>
      <x:c r="P128" s="16" t="str">
        <x:f>IF(A128="","",IF(OR(E128="Manipulação do corpo",E128="Velório/funeral",E128="Sepultamento",E128="Limpeza/desinfecção"),"Pós-óbito",IF(OR(E128="Transporte do paciente",E128="Cuidado direto",E128="Contato com fluidos",E128="Serviço de saúde",E128="Laboratório"),"Exposição direta/assistencial","Exposição comunitária/outro")))</x:f>
      </x:c>
      <x:c r="Q128" s="16" t="str">
        <x:f>IF(A128="","",IF(P128="Pós-óbito","Sim","Não"))</x:f>
      </x:c>
    </x:row>
    <x:row r="129">
      <x:c r="A129" s="16" t="str"/>
      <x:c r="B129" s="16" t="str"/>
      <x:c r="C129" s="16" t="str"/>
      <x:c r="D129" s="28" t="str"/>
      <x:c r="E129" s="16" t="str"/>
      <x:c r="F129" s="16" t="str"/>
      <x:c r="G129" s="16" t="str"/>
      <x:c r="H129" s="16" t="str"/>
      <x:c r="I129" s="28" t="str"/>
      <x:c r="J129" s="28" t="str"/>
      <x:c r="K129" s="28" t="str"/>
      <x:c r="L129" s="16" t="str"/>
      <x:c r="M129" s="28" t="str">
        <x:f>IF(D129="","",D129+21)</x:f>
      </x:c>
      <x:c r="N129" s="16" t="str">
        <x:f>IF(M129="","",M129-TODAY())</x:f>
      </x:c>
      <x:c r="O129" s="16" t="str">
        <x:f>IF(A129="","",IF(OR(H129="Encerrado",H129="Descartado"),"Encerrado",IF(OR(H129="Sintomático",H129="Suspeito",H129="Confirmado",H129="Óbito"),"Requer avaliação/ação",IF(N129&lt;0,"Prazo concluído","Em monitoramento"))))</x:f>
      </x:c>
      <x:c r="P129" s="16" t="str">
        <x:f>IF(A129="","",IF(OR(E129="Manipulação do corpo",E129="Velório/funeral",E129="Sepultamento",E129="Limpeza/desinfecção"),"Pós-óbito",IF(OR(E129="Transporte do paciente",E129="Cuidado direto",E129="Contato com fluidos",E129="Serviço de saúde",E129="Laboratório"),"Exposição direta/assistencial","Exposição comunitária/outro")))</x:f>
      </x:c>
      <x:c r="Q129" s="16" t="str">
        <x:f>IF(A129="","",IF(P129="Pós-óbito","Sim","Não"))</x:f>
      </x:c>
    </x:row>
    <x:row r="130">
      <x:c r="A130" s="16" t="str"/>
      <x:c r="B130" s="16" t="str"/>
      <x:c r="C130" s="16" t="str"/>
      <x:c r="D130" s="28" t="str"/>
      <x:c r="E130" s="16" t="str"/>
      <x:c r="F130" s="16" t="str"/>
      <x:c r="G130" s="16" t="str"/>
      <x:c r="H130" s="16" t="str"/>
      <x:c r="I130" s="28" t="str"/>
      <x:c r="J130" s="28" t="str"/>
      <x:c r="K130" s="28" t="str"/>
      <x:c r="L130" s="16" t="str"/>
      <x:c r="M130" s="28" t="str">
        <x:f>IF(D130="","",D130+21)</x:f>
      </x:c>
      <x:c r="N130" s="16" t="str">
        <x:f>IF(M130="","",M130-TODAY())</x:f>
      </x:c>
      <x:c r="O130" s="16" t="str">
        <x:f>IF(A130="","",IF(OR(H130="Encerrado",H130="Descartado"),"Encerrado",IF(OR(H130="Sintomático",H130="Suspeito",H130="Confirmado",H130="Óbito"),"Requer avaliação/ação",IF(N130&lt;0,"Prazo concluído","Em monitoramento"))))</x:f>
      </x:c>
      <x:c r="P130" s="16" t="str">
        <x:f>IF(A130="","",IF(OR(E130="Manipulação do corpo",E130="Velório/funeral",E130="Sepultamento",E130="Limpeza/desinfecção"),"Pós-óbito",IF(OR(E130="Transporte do paciente",E130="Cuidado direto",E130="Contato com fluidos",E130="Serviço de saúde",E130="Laboratório"),"Exposição direta/assistencial","Exposição comunitária/outro")))</x:f>
      </x:c>
      <x:c r="Q130" s="16" t="str">
        <x:f>IF(A130="","",IF(P130="Pós-óbito","Sim","Não"))</x:f>
      </x:c>
    </x:row>
    <x:row r="131">
      <x:c r="A131" s="16" t="str"/>
      <x:c r="B131" s="16" t="str"/>
      <x:c r="C131" s="16" t="str"/>
      <x:c r="D131" s="28" t="str"/>
      <x:c r="E131" s="16" t="str"/>
      <x:c r="F131" s="16" t="str"/>
      <x:c r="G131" s="16" t="str"/>
      <x:c r="H131" s="16" t="str"/>
      <x:c r="I131" s="28" t="str"/>
      <x:c r="J131" s="28" t="str"/>
      <x:c r="K131" s="28" t="str"/>
      <x:c r="L131" s="16" t="str"/>
      <x:c r="M131" s="28" t="str">
        <x:f>IF(D131="","",D131+21)</x:f>
      </x:c>
      <x:c r="N131" s="16" t="str">
        <x:f>IF(M131="","",M131-TODAY())</x:f>
      </x:c>
      <x:c r="O131" s="16" t="str">
        <x:f>IF(A131="","",IF(OR(H131="Encerrado",H131="Descartado"),"Encerrado",IF(OR(H131="Sintomático",H131="Suspeito",H131="Confirmado",H131="Óbito"),"Requer avaliação/ação",IF(N131&lt;0,"Prazo concluído","Em monitoramento"))))</x:f>
      </x:c>
      <x:c r="P131" s="16" t="str">
        <x:f>IF(A131="","",IF(OR(E131="Manipulação do corpo",E131="Velório/funeral",E131="Sepultamento",E131="Limpeza/desinfecção"),"Pós-óbito",IF(OR(E131="Transporte do paciente",E131="Cuidado direto",E131="Contato com fluidos",E131="Serviço de saúde",E131="Laboratório"),"Exposição direta/assistencial","Exposição comunitária/outro")))</x:f>
      </x:c>
      <x:c r="Q131" s="16" t="str">
        <x:f>IF(A131="","",IF(P131="Pós-óbito","Sim","Não"))</x:f>
      </x:c>
    </x:row>
    <x:row r="132">
      <x:c r="A132" s="16" t="str"/>
      <x:c r="B132" s="16" t="str"/>
      <x:c r="C132" s="16" t="str"/>
      <x:c r="D132" s="28" t="str"/>
      <x:c r="E132" s="16" t="str"/>
      <x:c r="F132" s="16" t="str"/>
      <x:c r="G132" s="16" t="str"/>
      <x:c r="H132" s="16" t="str"/>
      <x:c r="I132" s="28" t="str"/>
      <x:c r="J132" s="28" t="str"/>
      <x:c r="K132" s="28" t="str"/>
      <x:c r="L132" s="16" t="str"/>
      <x:c r="M132" s="28" t="str">
        <x:f>IF(D132="","",D132+21)</x:f>
      </x:c>
      <x:c r="N132" s="16" t="str">
        <x:f>IF(M132="","",M132-TODAY())</x:f>
      </x:c>
      <x:c r="O132" s="16" t="str">
        <x:f>IF(A132="","",IF(OR(H132="Encerrado",H132="Descartado"),"Encerrado",IF(OR(H132="Sintomático",H132="Suspeito",H132="Confirmado",H132="Óbito"),"Requer avaliação/ação",IF(N132&lt;0,"Prazo concluído","Em monitoramento"))))</x:f>
      </x:c>
      <x:c r="P132" s="16" t="str">
        <x:f>IF(A132="","",IF(OR(E132="Manipulação do corpo",E132="Velório/funeral",E132="Sepultamento",E132="Limpeza/desinfecção"),"Pós-óbito",IF(OR(E132="Transporte do paciente",E132="Cuidado direto",E132="Contato com fluidos",E132="Serviço de saúde",E132="Laboratório"),"Exposição direta/assistencial","Exposição comunitária/outro")))</x:f>
      </x:c>
      <x:c r="Q132" s="16" t="str">
        <x:f>IF(A132="","",IF(P132="Pós-óbito","Sim","Não"))</x:f>
      </x:c>
    </x:row>
    <x:row r="133">
      <x:c r="A133" s="16" t="str"/>
      <x:c r="B133" s="16" t="str"/>
      <x:c r="C133" s="16" t="str"/>
      <x:c r="D133" s="28" t="str"/>
      <x:c r="E133" s="16" t="str"/>
      <x:c r="F133" s="16" t="str"/>
      <x:c r="G133" s="16" t="str"/>
      <x:c r="H133" s="16" t="str"/>
      <x:c r="I133" s="28" t="str"/>
      <x:c r="J133" s="28" t="str"/>
      <x:c r="K133" s="28" t="str"/>
      <x:c r="L133" s="16" t="str"/>
      <x:c r="M133" s="28" t="str">
        <x:f>IF(D133="","",D133+21)</x:f>
      </x:c>
      <x:c r="N133" s="16" t="str">
        <x:f>IF(M133="","",M133-TODAY())</x:f>
      </x:c>
      <x:c r="O133" s="16" t="str">
        <x:f>IF(A133="","",IF(OR(H133="Encerrado",H133="Descartado"),"Encerrado",IF(OR(H133="Sintomático",H133="Suspeito",H133="Confirmado",H133="Óbito"),"Requer avaliação/ação",IF(N133&lt;0,"Prazo concluído","Em monitoramento"))))</x:f>
      </x:c>
      <x:c r="P133" s="16" t="str">
        <x:f>IF(A133="","",IF(OR(E133="Manipulação do corpo",E133="Velório/funeral",E133="Sepultamento",E133="Limpeza/desinfecção"),"Pós-óbito",IF(OR(E133="Transporte do paciente",E133="Cuidado direto",E133="Contato com fluidos",E133="Serviço de saúde",E133="Laboratório"),"Exposição direta/assistencial","Exposição comunitária/outro")))</x:f>
      </x:c>
      <x:c r="Q133" s="16" t="str">
        <x:f>IF(A133="","",IF(P133="Pós-óbito","Sim","Não"))</x:f>
      </x:c>
    </x:row>
    <x:row r="134">
      <x:c r="A134" s="16" t="str"/>
      <x:c r="B134" s="16" t="str"/>
      <x:c r="C134" s="16" t="str"/>
      <x:c r="D134" s="28" t="str"/>
      <x:c r="E134" s="16" t="str"/>
      <x:c r="F134" s="16" t="str"/>
      <x:c r="G134" s="16" t="str"/>
      <x:c r="H134" s="16" t="str"/>
      <x:c r="I134" s="28" t="str"/>
      <x:c r="J134" s="28" t="str"/>
      <x:c r="K134" s="28" t="str"/>
      <x:c r="L134" s="16" t="str"/>
      <x:c r="M134" s="28" t="str">
        <x:f>IF(D134="","",D134+21)</x:f>
      </x:c>
      <x:c r="N134" s="16" t="str">
        <x:f>IF(M134="","",M134-TODAY())</x:f>
      </x:c>
      <x:c r="O134" s="16" t="str">
        <x:f>IF(A134="","",IF(OR(H134="Encerrado",H134="Descartado"),"Encerrado",IF(OR(H134="Sintomático",H134="Suspeito",H134="Confirmado",H134="Óbito"),"Requer avaliação/ação",IF(N134&lt;0,"Prazo concluído","Em monitoramento"))))</x:f>
      </x:c>
      <x:c r="P134" s="16" t="str">
        <x:f>IF(A134="","",IF(OR(E134="Manipulação do corpo",E134="Velório/funeral",E134="Sepultamento",E134="Limpeza/desinfecção"),"Pós-óbito",IF(OR(E134="Transporte do paciente",E134="Cuidado direto",E134="Contato com fluidos",E134="Serviço de saúde",E134="Laboratório"),"Exposição direta/assistencial","Exposição comunitária/outro")))</x:f>
      </x:c>
      <x:c r="Q134" s="16" t="str">
        <x:f>IF(A134="","",IF(P134="Pós-óbito","Sim","Não"))</x:f>
      </x:c>
    </x:row>
    <x:row r="135">
      <x:c r="A135" s="16" t="str"/>
      <x:c r="B135" s="16" t="str"/>
      <x:c r="C135" s="16" t="str"/>
      <x:c r="D135" s="28" t="str"/>
      <x:c r="E135" s="16" t="str"/>
      <x:c r="F135" s="16" t="str"/>
      <x:c r="G135" s="16" t="str"/>
      <x:c r="H135" s="16" t="str"/>
      <x:c r="I135" s="28" t="str"/>
      <x:c r="J135" s="28" t="str"/>
      <x:c r="K135" s="28" t="str"/>
      <x:c r="L135" s="16" t="str"/>
      <x:c r="M135" s="28" t="str">
        <x:f>IF(D135="","",D135+21)</x:f>
      </x:c>
      <x:c r="N135" s="16" t="str">
        <x:f>IF(M135="","",M135-TODAY())</x:f>
      </x:c>
      <x:c r="O135" s="16" t="str">
        <x:f>IF(A135="","",IF(OR(H135="Encerrado",H135="Descartado"),"Encerrado",IF(OR(H135="Sintomático",H135="Suspeito",H135="Confirmado",H135="Óbito"),"Requer avaliação/ação",IF(N135&lt;0,"Prazo concluído","Em monitoramento"))))</x:f>
      </x:c>
      <x:c r="P135" s="16" t="str">
        <x:f>IF(A135="","",IF(OR(E135="Manipulação do corpo",E135="Velório/funeral",E135="Sepultamento",E135="Limpeza/desinfecção"),"Pós-óbito",IF(OR(E135="Transporte do paciente",E135="Cuidado direto",E135="Contato com fluidos",E135="Serviço de saúde",E135="Laboratório"),"Exposição direta/assistencial","Exposição comunitária/outro")))</x:f>
      </x:c>
      <x:c r="Q135" s="16" t="str">
        <x:f>IF(A135="","",IF(P135="Pós-óbito","Sim","Não"))</x:f>
      </x:c>
    </x:row>
    <x:row r="136">
      <x:c r="A136" s="16" t="str"/>
      <x:c r="B136" s="16" t="str"/>
      <x:c r="C136" s="16" t="str"/>
      <x:c r="D136" s="28" t="str"/>
      <x:c r="E136" s="16" t="str"/>
      <x:c r="F136" s="16" t="str"/>
      <x:c r="G136" s="16" t="str"/>
      <x:c r="H136" s="16" t="str"/>
      <x:c r="I136" s="28" t="str"/>
      <x:c r="J136" s="28" t="str"/>
      <x:c r="K136" s="28" t="str"/>
      <x:c r="L136" s="16" t="str"/>
      <x:c r="M136" s="28" t="str">
        <x:f>IF(D136="","",D136+21)</x:f>
      </x:c>
      <x:c r="N136" s="16" t="str">
        <x:f>IF(M136="","",M136-TODAY())</x:f>
      </x:c>
      <x:c r="O136" s="16" t="str">
        <x:f>IF(A136="","",IF(OR(H136="Encerrado",H136="Descartado"),"Encerrado",IF(OR(H136="Sintomático",H136="Suspeito",H136="Confirmado",H136="Óbito"),"Requer avaliação/ação",IF(N136&lt;0,"Prazo concluído","Em monitoramento"))))</x:f>
      </x:c>
      <x:c r="P136" s="16" t="str">
        <x:f>IF(A136="","",IF(OR(E136="Manipulação do corpo",E136="Velório/funeral",E136="Sepultamento",E136="Limpeza/desinfecção"),"Pós-óbito",IF(OR(E136="Transporte do paciente",E136="Cuidado direto",E136="Contato com fluidos",E136="Serviço de saúde",E136="Laboratório"),"Exposição direta/assistencial","Exposição comunitária/outro")))</x:f>
      </x:c>
      <x:c r="Q136" s="16" t="str">
        <x:f>IF(A136="","",IF(P136="Pós-óbito","Sim","Não"))</x:f>
      </x:c>
    </x:row>
    <x:row r="137">
      <x:c r="A137" s="16" t="str"/>
      <x:c r="B137" s="16" t="str"/>
      <x:c r="C137" s="16" t="str"/>
      <x:c r="D137" s="28" t="str"/>
      <x:c r="E137" s="16" t="str"/>
      <x:c r="F137" s="16" t="str"/>
      <x:c r="G137" s="16" t="str"/>
      <x:c r="H137" s="16" t="str"/>
      <x:c r="I137" s="28" t="str"/>
      <x:c r="J137" s="28" t="str"/>
      <x:c r="K137" s="28" t="str"/>
      <x:c r="L137" s="16" t="str"/>
      <x:c r="M137" s="28" t="str">
        <x:f>IF(D137="","",D137+21)</x:f>
      </x:c>
      <x:c r="N137" s="16" t="str">
        <x:f>IF(M137="","",M137-TODAY())</x:f>
      </x:c>
      <x:c r="O137" s="16" t="str">
        <x:f>IF(A137="","",IF(OR(H137="Encerrado",H137="Descartado"),"Encerrado",IF(OR(H137="Sintomático",H137="Suspeito",H137="Confirmado",H137="Óbito"),"Requer avaliação/ação",IF(N137&lt;0,"Prazo concluído","Em monitoramento"))))</x:f>
      </x:c>
      <x:c r="P137" s="16" t="str">
        <x:f>IF(A137="","",IF(OR(E137="Manipulação do corpo",E137="Velório/funeral",E137="Sepultamento",E137="Limpeza/desinfecção"),"Pós-óbito",IF(OR(E137="Transporte do paciente",E137="Cuidado direto",E137="Contato com fluidos",E137="Serviço de saúde",E137="Laboratório"),"Exposição direta/assistencial","Exposição comunitária/outro")))</x:f>
      </x:c>
      <x:c r="Q137" s="16" t="str">
        <x:f>IF(A137="","",IF(P137="Pós-óbito","Sim","Não"))</x:f>
      </x:c>
    </x:row>
    <x:row r="138">
      <x:c r="A138" s="16" t="str"/>
      <x:c r="B138" s="16" t="str"/>
      <x:c r="C138" s="16" t="str"/>
      <x:c r="D138" s="28" t="str"/>
      <x:c r="E138" s="16" t="str"/>
      <x:c r="F138" s="16" t="str"/>
      <x:c r="G138" s="16" t="str"/>
      <x:c r="H138" s="16" t="str"/>
      <x:c r="I138" s="28" t="str"/>
      <x:c r="J138" s="28" t="str"/>
      <x:c r="K138" s="28" t="str"/>
      <x:c r="L138" s="16" t="str"/>
      <x:c r="M138" s="28" t="str">
        <x:f>IF(D138="","",D138+21)</x:f>
      </x:c>
      <x:c r="N138" s="16" t="str">
        <x:f>IF(M138="","",M138-TODAY())</x:f>
      </x:c>
      <x:c r="O138" s="16" t="str">
        <x:f>IF(A138="","",IF(OR(H138="Encerrado",H138="Descartado"),"Encerrado",IF(OR(H138="Sintomático",H138="Suspeito",H138="Confirmado",H138="Óbito"),"Requer avaliação/ação",IF(N138&lt;0,"Prazo concluído","Em monitoramento"))))</x:f>
      </x:c>
      <x:c r="P138" s="16" t="str">
        <x:f>IF(A138="","",IF(OR(E138="Manipulação do corpo",E138="Velório/funeral",E138="Sepultamento",E138="Limpeza/desinfecção"),"Pós-óbito",IF(OR(E138="Transporte do paciente",E138="Cuidado direto",E138="Contato com fluidos",E138="Serviço de saúde",E138="Laboratório"),"Exposição direta/assistencial","Exposição comunitária/outro")))</x:f>
      </x:c>
      <x:c r="Q138" s="16" t="str">
        <x:f>IF(A138="","",IF(P138="Pós-óbito","Sim","Não"))</x:f>
      </x:c>
    </x:row>
    <x:row r="139">
      <x:c r="A139" s="16" t="str"/>
      <x:c r="B139" s="16" t="str"/>
      <x:c r="C139" s="16" t="str"/>
      <x:c r="D139" s="28" t="str"/>
      <x:c r="E139" s="16" t="str"/>
      <x:c r="F139" s="16" t="str"/>
      <x:c r="G139" s="16" t="str"/>
      <x:c r="H139" s="16" t="str"/>
      <x:c r="I139" s="28" t="str"/>
      <x:c r="J139" s="28" t="str"/>
      <x:c r="K139" s="28" t="str"/>
      <x:c r="L139" s="16" t="str"/>
      <x:c r="M139" s="28" t="str">
        <x:f>IF(D139="","",D139+21)</x:f>
      </x:c>
      <x:c r="N139" s="16" t="str">
        <x:f>IF(M139="","",M139-TODAY())</x:f>
      </x:c>
      <x:c r="O139" s="16" t="str">
        <x:f>IF(A139="","",IF(OR(H139="Encerrado",H139="Descartado"),"Encerrado",IF(OR(H139="Sintomático",H139="Suspeito",H139="Confirmado",H139="Óbito"),"Requer avaliação/ação",IF(N139&lt;0,"Prazo concluído","Em monitoramento"))))</x:f>
      </x:c>
      <x:c r="P139" s="16" t="str">
        <x:f>IF(A139="","",IF(OR(E139="Manipulação do corpo",E139="Velório/funeral",E139="Sepultamento",E139="Limpeza/desinfecção"),"Pós-óbito",IF(OR(E139="Transporte do paciente",E139="Cuidado direto",E139="Contato com fluidos",E139="Serviço de saúde",E139="Laboratório"),"Exposição direta/assistencial","Exposição comunitária/outro")))</x:f>
      </x:c>
      <x:c r="Q139" s="16" t="str">
        <x:f>IF(A139="","",IF(P139="Pós-óbito","Sim","Não"))</x:f>
      </x:c>
    </x:row>
    <x:row r="140">
      <x:c r="A140" s="16" t="str"/>
      <x:c r="B140" s="16" t="str"/>
      <x:c r="C140" s="16" t="str"/>
      <x:c r="D140" s="28" t="str"/>
      <x:c r="E140" s="16" t="str"/>
      <x:c r="F140" s="16" t="str"/>
      <x:c r="G140" s="16" t="str"/>
      <x:c r="H140" s="16" t="str"/>
      <x:c r="I140" s="28" t="str"/>
      <x:c r="J140" s="28" t="str"/>
      <x:c r="K140" s="28" t="str"/>
      <x:c r="L140" s="16" t="str"/>
      <x:c r="M140" s="28" t="str">
        <x:f>IF(D140="","",D140+21)</x:f>
      </x:c>
      <x:c r="N140" s="16" t="str">
        <x:f>IF(M140="","",M140-TODAY())</x:f>
      </x:c>
      <x:c r="O140" s="16" t="str">
        <x:f>IF(A140="","",IF(OR(H140="Encerrado",H140="Descartado"),"Encerrado",IF(OR(H140="Sintomático",H140="Suspeito",H140="Confirmado",H140="Óbito"),"Requer avaliação/ação",IF(N140&lt;0,"Prazo concluído","Em monitoramento"))))</x:f>
      </x:c>
      <x:c r="P140" s="16" t="str">
        <x:f>IF(A140="","",IF(OR(E140="Manipulação do corpo",E140="Velório/funeral",E140="Sepultamento",E140="Limpeza/desinfecção"),"Pós-óbito",IF(OR(E140="Transporte do paciente",E140="Cuidado direto",E140="Contato com fluidos",E140="Serviço de saúde",E140="Laboratório"),"Exposição direta/assistencial","Exposição comunitária/outro")))</x:f>
      </x:c>
      <x:c r="Q140" s="16" t="str">
        <x:f>IF(A140="","",IF(P140="Pós-óbito","Sim","Não"))</x:f>
      </x:c>
    </x:row>
    <x:row r="141">
      <x:c r="A141" s="16" t="str"/>
      <x:c r="B141" s="16" t="str"/>
      <x:c r="C141" s="16" t="str"/>
      <x:c r="D141" s="28" t="str"/>
      <x:c r="E141" s="16" t="str"/>
      <x:c r="F141" s="16" t="str"/>
      <x:c r="G141" s="16" t="str"/>
      <x:c r="H141" s="16" t="str"/>
      <x:c r="I141" s="28" t="str"/>
      <x:c r="J141" s="28" t="str"/>
      <x:c r="K141" s="28" t="str"/>
      <x:c r="L141" s="16" t="str"/>
      <x:c r="M141" s="28" t="str">
        <x:f>IF(D141="","",D141+21)</x:f>
      </x:c>
      <x:c r="N141" s="16" t="str">
        <x:f>IF(M141="","",M141-TODAY())</x:f>
      </x:c>
      <x:c r="O141" s="16" t="str">
        <x:f>IF(A141="","",IF(OR(H141="Encerrado",H141="Descartado"),"Encerrado",IF(OR(H141="Sintomático",H141="Suspeito",H141="Confirmado",H141="Óbito"),"Requer avaliação/ação",IF(N141&lt;0,"Prazo concluído","Em monitoramento"))))</x:f>
      </x:c>
      <x:c r="P141" s="16" t="str">
        <x:f>IF(A141="","",IF(OR(E141="Manipulação do corpo",E141="Velório/funeral",E141="Sepultamento",E141="Limpeza/desinfecção"),"Pós-óbito",IF(OR(E141="Transporte do paciente",E141="Cuidado direto",E141="Contato com fluidos",E141="Serviço de saúde",E141="Laboratório"),"Exposição direta/assistencial","Exposição comunitária/outro")))</x:f>
      </x:c>
      <x:c r="Q141" s="16" t="str">
        <x:f>IF(A141="","",IF(P141="Pós-óbito","Sim","Não"))</x:f>
      </x:c>
    </x:row>
    <x:row r="142">
      <x:c r="A142" s="16" t="str"/>
      <x:c r="B142" s="16" t="str"/>
      <x:c r="C142" s="16" t="str"/>
      <x:c r="D142" s="28" t="str"/>
      <x:c r="E142" s="16" t="str"/>
      <x:c r="F142" s="16" t="str"/>
      <x:c r="G142" s="16" t="str"/>
      <x:c r="H142" s="16" t="str"/>
      <x:c r="I142" s="28" t="str"/>
      <x:c r="J142" s="28" t="str"/>
      <x:c r="K142" s="28" t="str"/>
      <x:c r="L142" s="16" t="str"/>
      <x:c r="M142" s="28" t="str">
        <x:f>IF(D142="","",D142+21)</x:f>
      </x:c>
      <x:c r="N142" s="16" t="str">
        <x:f>IF(M142="","",M142-TODAY())</x:f>
      </x:c>
      <x:c r="O142" s="16" t="str">
        <x:f>IF(A142="","",IF(OR(H142="Encerrado",H142="Descartado"),"Encerrado",IF(OR(H142="Sintomático",H142="Suspeito",H142="Confirmado",H142="Óbito"),"Requer avaliação/ação",IF(N142&lt;0,"Prazo concluído","Em monitoramento"))))</x:f>
      </x:c>
      <x:c r="P142" s="16" t="str">
        <x:f>IF(A142="","",IF(OR(E142="Manipulação do corpo",E142="Velório/funeral",E142="Sepultamento",E142="Limpeza/desinfecção"),"Pós-óbito",IF(OR(E142="Transporte do paciente",E142="Cuidado direto",E142="Contato com fluidos",E142="Serviço de saúde",E142="Laboratório"),"Exposição direta/assistencial","Exposição comunitária/outro")))</x:f>
      </x:c>
      <x:c r="Q142" s="16" t="str">
        <x:f>IF(A142="","",IF(P142="Pós-óbito","Sim","Não"))</x:f>
      </x:c>
    </x:row>
    <x:row r="143">
      <x:c r="A143" s="16" t="str"/>
      <x:c r="B143" s="16" t="str"/>
      <x:c r="C143" s="16" t="str"/>
      <x:c r="D143" s="28" t="str"/>
      <x:c r="E143" s="16" t="str"/>
      <x:c r="F143" s="16" t="str"/>
      <x:c r="G143" s="16" t="str"/>
      <x:c r="H143" s="16" t="str"/>
      <x:c r="I143" s="28" t="str"/>
      <x:c r="J143" s="28" t="str"/>
      <x:c r="K143" s="28" t="str"/>
      <x:c r="L143" s="16" t="str"/>
      <x:c r="M143" s="28" t="str">
        <x:f>IF(D143="","",D143+21)</x:f>
      </x:c>
      <x:c r="N143" s="16" t="str">
        <x:f>IF(M143="","",M143-TODAY())</x:f>
      </x:c>
      <x:c r="O143" s="16" t="str">
        <x:f>IF(A143="","",IF(OR(H143="Encerrado",H143="Descartado"),"Encerrado",IF(OR(H143="Sintomático",H143="Suspeito",H143="Confirmado",H143="Óbito"),"Requer avaliação/ação",IF(N143&lt;0,"Prazo concluído","Em monitoramento"))))</x:f>
      </x:c>
      <x:c r="P143" s="16" t="str">
        <x:f>IF(A143="","",IF(OR(E143="Manipulação do corpo",E143="Velório/funeral",E143="Sepultamento",E143="Limpeza/desinfecção"),"Pós-óbito",IF(OR(E143="Transporte do paciente",E143="Cuidado direto",E143="Contato com fluidos",E143="Serviço de saúde",E143="Laboratório"),"Exposição direta/assistencial","Exposição comunitária/outro")))</x:f>
      </x:c>
      <x:c r="Q143" s="16" t="str">
        <x:f>IF(A143="","",IF(P143="Pós-óbito","Sim","Não"))</x:f>
      </x:c>
    </x:row>
    <x:row r="144">
      <x:c r="A144" s="16" t="str"/>
      <x:c r="B144" s="16" t="str"/>
      <x:c r="C144" s="16" t="str"/>
      <x:c r="D144" s="28" t="str"/>
      <x:c r="E144" s="16" t="str"/>
      <x:c r="F144" s="16" t="str"/>
      <x:c r="G144" s="16" t="str"/>
      <x:c r="H144" s="16" t="str"/>
      <x:c r="I144" s="28" t="str"/>
      <x:c r="J144" s="28" t="str"/>
      <x:c r="K144" s="28" t="str"/>
      <x:c r="L144" s="16" t="str"/>
      <x:c r="M144" s="28" t="str">
        <x:f>IF(D144="","",D144+21)</x:f>
      </x:c>
      <x:c r="N144" s="16" t="str">
        <x:f>IF(M144="","",M144-TODAY())</x:f>
      </x:c>
      <x:c r="O144" s="16" t="str">
        <x:f>IF(A144="","",IF(OR(H144="Encerrado",H144="Descartado"),"Encerrado",IF(OR(H144="Sintomático",H144="Suspeito",H144="Confirmado",H144="Óbito"),"Requer avaliação/ação",IF(N144&lt;0,"Prazo concluído","Em monitoramento"))))</x:f>
      </x:c>
      <x:c r="P144" s="16" t="str">
        <x:f>IF(A144="","",IF(OR(E144="Manipulação do corpo",E144="Velório/funeral",E144="Sepultamento",E144="Limpeza/desinfecção"),"Pós-óbito",IF(OR(E144="Transporte do paciente",E144="Cuidado direto",E144="Contato com fluidos",E144="Serviço de saúde",E144="Laboratório"),"Exposição direta/assistencial","Exposição comunitária/outro")))</x:f>
      </x:c>
      <x:c r="Q144" s="16" t="str">
        <x:f>IF(A144="","",IF(P144="Pós-óbito","Sim","Não"))</x:f>
      </x:c>
    </x:row>
    <x:row r="145">
      <x:c r="A145" s="16" t="str"/>
      <x:c r="B145" s="16" t="str"/>
      <x:c r="C145" s="16" t="str"/>
      <x:c r="D145" s="28" t="str"/>
      <x:c r="E145" s="16" t="str"/>
      <x:c r="F145" s="16" t="str"/>
      <x:c r="G145" s="16" t="str"/>
      <x:c r="H145" s="16" t="str"/>
      <x:c r="I145" s="28" t="str"/>
      <x:c r="J145" s="28" t="str"/>
      <x:c r="K145" s="28" t="str"/>
      <x:c r="L145" s="16" t="str"/>
      <x:c r="M145" s="28" t="str">
        <x:f>IF(D145="","",D145+21)</x:f>
      </x:c>
      <x:c r="N145" s="16" t="str">
        <x:f>IF(M145="","",M145-TODAY())</x:f>
      </x:c>
      <x:c r="O145" s="16" t="str">
        <x:f>IF(A145="","",IF(OR(H145="Encerrado",H145="Descartado"),"Encerrado",IF(OR(H145="Sintomático",H145="Suspeito",H145="Confirmado",H145="Óbito"),"Requer avaliação/ação",IF(N145&lt;0,"Prazo concluído","Em monitoramento"))))</x:f>
      </x:c>
      <x:c r="P145" s="16" t="str">
        <x:f>IF(A145="","",IF(OR(E145="Manipulação do corpo",E145="Velório/funeral",E145="Sepultamento",E145="Limpeza/desinfecção"),"Pós-óbito",IF(OR(E145="Transporte do paciente",E145="Cuidado direto",E145="Contato com fluidos",E145="Serviço de saúde",E145="Laboratório"),"Exposição direta/assistencial","Exposição comunitária/outro")))</x:f>
      </x:c>
      <x:c r="Q145" s="16" t="str">
        <x:f>IF(A145="","",IF(P145="Pós-óbito","Sim","Não"))</x:f>
      </x:c>
    </x:row>
    <x:row r="146">
      <x:c r="A146" s="16" t="str"/>
      <x:c r="B146" s="16" t="str"/>
      <x:c r="C146" s="16" t="str"/>
      <x:c r="D146" s="28" t="str"/>
      <x:c r="E146" s="16" t="str"/>
      <x:c r="F146" s="16" t="str"/>
      <x:c r="G146" s="16" t="str"/>
      <x:c r="H146" s="16" t="str"/>
      <x:c r="I146" s="28" t="str"/>
      <x:c r="J146" s="28" t="str"/>
      <x:c r="K146" s="28" t="str"/>
      <x:c r="L146" s="16" t="str"/>
      <x:c r="M146" s="28" t="str">
        <x:f>IF(D146="","",D146+21)</x:f>
      </x:c>
      <x:c r="N146" s="16" t="str">
        <x:f>IF(M146="","",M146-TODAY())</x:f>
      </x:c>
      <x:c r="O146" s="16" t="str">
        <x:f>IF(A146="","",IF(OR(H146="Encerrado",H146="Descartado"),"Encerrado",IF(OR(H146="Sintomático",H146="Suspeito",H146="Confirmado",H146="Óbito"),"Requer avaliação/ação",IF(N146&lt;0,"Prazo concluído","Em monitoramento"))))</x:f>
      </x:c>
      <x:c r="P146" s="16" t="str">
        <x:f>IF(A146="","",IF(OR(E146="Manipulação do corpo",E146="Velório/funeral",E146="Sepultamento",E146="Limpeza/desinfecção"),"Pós-óbito",IF(OR(E146="Transporte do paciente",E146="Cuidado direto",E146="Contato com fluidos",E146="Serviço de saúde",E146="Laboratório"),"Exposição direta/assistencial","Exposição comunitária/outro")))</x:f>
      </x:c>
      <x:c r="Q146" s="16" t="str">
        <x:f>IF(A146="","",IF(P146="Pós-óbito","Sim","Não"))</x:f>
      </x:c>
    </x:row>
    <x:row r="147">
      <x:c r="A147" s="16" t="str"/>
      <x:c r="B147" s="16" t="str"/>
      <x:c r="C147" s="16" t="str"/>
      <x:c r="D147" s="28" t="str"/>
      <x:c r="E147" s="16" t="str"/>
      <x:c r="F147" s="16" t="str"/>
      <x:c r="G147" s="16" t="str"/>
      <x:c r="H147" s="16" t="str"/>
      <x:c r="I147" s="28" t="str"/>
      <x:c r="J147" s="28" t="str"/>
      <x:c r="K147" s="28" t="str"/>
      <x:c r="L147" s="16" t="str"/>
      <x:c r="M147" s="28" t="str">
        <x:f>IF(D147="","",D147+21)</x:f>
      </x:c>
      <x:c r="N147" s="16" t="str">
        <x:f>IF(M147="","",M147-TODAY())</x:f>
      </x:c>
      <x:c r="O147" s="16" t="str">
        <x:f>IF(A147="","",IF(OR(H147="Encerrado",H147="Descartado"),"Encerrado",IF(OR(H147="Sintomático",H147="Suspeito",H147="Confirmado",H147="Óbito"),"Requer avaliação/ação",IF(N147&lt;0,"Prazo concluído","Em monitoramento"))))</x:f>
      </x:c>
      <x:c r="P147" s="16" t="str">
        <x:f>IF(A147="","",IF(OR(E147="Manipulação do corpo",E147="Velório/funeral",E147="Sepultamento",E147="Limpeza/desinfecção"),"Pós-óbito",IF(OR(E147="Transporte do paciente",E147="Cuidado direto",E147="Contato com fluidos",E147="Serviço de saúde",E147="Laboratório"),"Exposição direta/assistencial","Exposição comunitária/outro")))</x:f>
      </x:c>
      <x:c r="Q147" s="16" t="str">
        <x:f>IF(A147="","",IF(P147="Pós-óbito","Sim","Não"))</x:f>
      </x:c>
    </x:row>
    <x:row r="148">
      <x:c r="A148" s="16" t="str"/>
      <x:c r="B148" s="16" t="str"/>
      <x:c r="C148" s="16" t="str"/>
      <x:c r="D148" s="28" t="str"/>
      <x:c r="E148" s="16" t="str"/>
      <x:c r="F148" s="16" t="str"/>
      <x:c r="G148" s="16" t="str"/>
      <x:c r="H148" s="16" t="str"/>
      <x:c r="I148" s="28" t="str"/>
      <x:c r="J148" s="28" t="str"/>
      <x:c r="K148" s="28" t="str"/>
      <x:c r="L148" s="16" t="str"/>
      <x:c r="M148" s="28" t="str">
        <x:f>IF(D148="","",D148+21)</x:f>
      </x:c>
      <x:c r="N148" s="16" t="str">
        <x:f>IF(M148="","",M148-TODAY())</x:f>
      </x:c>
      <x:c r="O148" s="16" t="str">
        <x:f>IF(A148="","",IF(OR(H148="Encerrado",H148="Descartado"),"Encerrado",IF(OR(H148="Sintomático",H148="Suspeito",H148="Confirmado",H148="Óbito"),"Requer avaliação/ação",IF(N148&lt;0,"Prazo concluído","Em monitoramento"))))</x:f>
      </x:c>
      <x:c r="P148" s="16" t="str">
        <x:f>IF(A148="","",IF(OR(E148="Manipulação do corpo",E148="Velório/funeral",E148="Sepultamento",E148="Limpeza/desinfecção"),"Pós-óbito",IF(OR(E148="Transporte do paciente",E148="Cuidado direto",E148="Contato com fluidos",E148="Serviço de saúde",E148="Laboratório"),"Exposição direta/assistencial","Exposição comunitária/outro")))</x:f>
      </x:c>
      <x:c r="Q148" s="16" t="str">
        <x:f>IF(A148="","",IF(P148="Pós-óbito","Sim","Não"))</x:f>
      </x:c>
    </x:row>
    <x:row r="149">
      <x:c r="A149" s="16" t="str"/>
      <x:c r="B149" s="16" t="str"/>
      <x:c r="C149" s="16" t="str"/>
      <x:c r="D149" s="28" t="str"/>
      <x:c r="E149" s="16" t="str"/>
      <x:c r="F149" s="16" t="str"/>
      <x:c r="G149" s="16" t="str"/>
      <x:c r="H149" s="16" t="str"/>
      <x:c r="I149" s="28" t="str"/>
      <x:c r="J149" s="28" t="str"/>
      <x:c r="K149" s="28" t="str"/>
      <x:c r="L149" s="16" t="str"/>
      <x:c r="M149" s="28" t="str">
        <x:f>IF(D149="","",D149+21)</x:f>
      </x:c>
      <x:c r="N149" s="16" t="str">
        <x:f>IF(M149="","",M149-TODAY())</x:f>
      </x:c>
      <x:c r="O149" s="16" t="str">
        <x:f>IF(A149="","",IF(OR(H149="Encerrado",H149="Descartado"),"Encerrado",IF(OR(H149="Sintomático",H149="Suspeito",H149="Confirmado",H149="Óbito"),"Requer avaliação/ação",IF(N149&lt;0,"Prazo concluído","Em monitoramento"))))</x:f>
      </x:c>
      <x:c r="P149" s="16" t="str">
        <x:f>IF(A149="","",IF(OR(E149="Manipulação do corpo",E149="Velório/funeral",E149="Sepultamento",E149="Limpeza/desinfecção"),"Pós-óbito",IF(OR(E149="Transporte do paciente",E149="Cuidado direto",E149="Contato com fluidos",E149="Serviço de saúde",E149="Laboratório"),"Exposição direta/assistencial","Exposição comunitária/outro")))</x:f>
      </x:c>
      <x:c r="Q149" s="16" t="str">
        <x:f>IF(A149="","",IF(P149="Pós-óbito","Sim","Não"))</x:f>
      </x:c>
    </x:row>
    <x:row r="150">
      <x:c r="A150" s="16" t="str"/>
      <x:c r="B150" s="16" t="str"/>
      <x:c r="C150" s="16" t="str"/>
      <x:c r="D150" s="28" t="str"/>
      <x:c r="E150" s="16" t="str"/>
      <x:c r="F150" s="16" t="str"/>
      <x:c r="G150" s="16" t="str"/>
      <x:c r="H150" s="16" t="str"/>
      <x:c r="I150" s="28" t="str"/>
      <x:c r="J150" s="28" t="str"/>
      <x:c r="K150" s="28" t="str"/>
      <x:c r="L150" s="16" t="str"/>
      <x:c r="M150" s="28" t="str">
        <x:f>IF(D150="","",D150+21)</x:f>
      </x:c>
      <x:c r="N150" s="16" t="str">
        <x:f>IF(M150="","",M150-TODAY())</x:f>
      </x:c>
      <x:c r="O150" s="16" t="str">
        <x:f>IF(A150="","",IF(OR(H150="Encerrado",H150="Descartado"),"Encerrado",IF(OR(H150="Sintomático",H150="Suspeito",H150="Confirmado",H150="Óbito"),"Requer avaliação/ação",IF(N150&lt;0,"Prazo concluído","Em monitoramento"))))</x:f>
      </x:c>
      <x:c r="P150" s="16" t="str">
        <x:f>IF(A150="","",IF(OR(E150="Manipulação do corpo",E150="Velório/funeral",E150="Sepultamento",E150="Limpeza/desinfecção"),"Pós-óbito",IF(OR(E150="Transporte do paciente",E150="Cuidado direto",E150="Contato com fluidos",E150="Serviço de saúde",E150="Laboratório"),"Exposição direta/assistencial","Exposição comunitária/outro")))</x:f>
      </x:c>
      <x:c r="Q150" s="16" t="str">
        <x:f>IF(A150="","",IF(P150="Pós-óbito","Sim","Não"))</x:f>
      </x:c>
    </x:row>
    <x:row r="151">
      <x:c r="A151" s="16" t="str"/>
      <x:c r="B151" s="16" t="str"/>
      <x:c r="C151" s="16" t="str"/>
      <x:c r="D151" s="28" t="str"/>
      <x:c r="E151" s="16" t="str"/>
      <x:c r="F151" s="16" t="str"/>
      <x:c r="G151" s="16" t="str"/>
      <x:c r="H151" s="16" t="str"/>
      <x:c r="I151" s="28" t="str"/>
      <x:c r="J151" s="28" t="str"/>
      <x:c r="K151" s="28" t="str"/>
      <x:c r="L151" s="16" t="str"/>
      <x:c r="M151" s="28" t="str">
        <x:f>IF(D151="","",D151+21)</x:f>
      </x:c>
      <x:c r="N151" s="16" t="str">
        <x:f>IF(M151="","",M151-TODAY())</x:f>
      </x:c>
      <x:c r="O151" s="16" t="str">
        <x:f>IF(A151="","",IF(OR(H151="Encerrado",H151="Descartado"),"Encerrado",IF(OR(H151="Sintomático",H151="Suspeito",H151="Confirmado",H151="Óbito"),"Requer avaliação/ação",IF(N151&lt;0,"Prazo concluído","Em monitoramento"))))</x:f>
      </x:c>
      <x:c r="P151" s="16" t="str">
        <x:f>IF(A151="","",IF(OR(E151="Manipulação do corpo",E151="Velório/funeral",E151="Sepultamento",E151="Limpeza/desinfecção"),"Pós-óbito",IF(OR(E151="Transporte do paciente",E151="Cuidado direto",E151="Contato com fluidos",E151="Serviço de saúde",E151="Laboratório"),"Exposição direta/assistencial","Exposição comunitária/outro")))</x:f>
      </x:c>
      <x:c r="Q151" s="16" t="str">
        <x:f>IF(A151="","",IF(P151="Pós-óbito","Sim","Não"))</x:f>
      </x:c>
    </x:row>
    <x:row r="152">
      <x:c r="A152" s="16" t="str"/>
      <x:c r="B152" s="16" t="str"/>
      <x:c r="C152" s="16" t="str"/>
      <x:c r="D152" s="28" t="str"/>
      <x:c r="E152" s="16" t="str"/>
      <x:c r="F152" s="16" t="str"/>
      <x:c r="G152" s="16" t="str"/>
      <x:c r="H152" s="16" t="str"/>
      <x:c r="I152" s="28" t="str"/>
      <x:c r="J152" s="28" t="str"/>
      <x:c r="K152" s="28" t="str"/>
      <x:c r="L152" s="16" t="str"/>
      <x:c r="M152" s="28" t="str">
        <x:f>IF(D152="","",D152+21)</x:f>
      </x:c>
      <x:c r="N152" s="16" t="str">
        <x:f>IF(M152="","",M152-TODAY())</x:f>
      </x:c>
      <x:c r="O152" s="16" t="str">
        <x:f>IF(A152="","",IF(OR(H152="Encerrado",H152="Descartado"),"Encerrado",IF(OR(H152="Sintomático",H152="Suspeito",H152="Confirmado",H152="Óbito"),"Requer avaliação/ação",IF(N152&lt;0,"Prazo concluído","Em monitoramento"))))</x:f>
      </x:c>
      <x:c r="P152" s="16" t="str">
        <x:f>IF(A152="","",IF(OR(E152="Manipulação do corpo",E152="Velório/funeral",E152="Sepultamento",E152="Limpeza/desinfecção"),"Pós-óbito",IF(OR(E152="Transporte do paciente",E152="Cuidado direto",E152="Contato com fluidos",E152="Serviço de saúde",E152="Laboratório"),"Exposição direta/assistencial","Exposição comunitária/outro")))</x:f>
      </x:c>
      <x:c r="Q152" s="16" t="str">
        <x:f>IF(A152="","",IF(P152="Pós-óbito","Sim","Não"))</x:f>
      </x:c>
    </x:row>
    <x:row r="153">
      <x:c r="A153" s="16" t="str"/>
      <x:c r="B153" s="16" t="str"/>
      <x:c r="C153" s="16" t="str"/>
      <x:c r="D153" s="28" t="str"/>
      <x:c r="E153" s="16" t="str"/>
      <x:c r="F153" s="16" t="str"/>
      <x:c r="G153" s="16" t="str"/>
      <x:c r="H153" s="16" t="str"/>
      <x:c r="I153" s="28" t="str"/>
      <x:c r="J153" s="28" t="str"/>
      <x:c r="K153" s="28" t="str"/>
      <x:c r="L153" s="16" t="str"/>
      <x:c r="M153" s="28" t="str">
        <x:f>IF(D153="","",D153+21)</x:f>
      </x:c>
      <x:c r="N153" s="16" t="str">
        <x:f>IF(M153="","",M153-TODAY())</x:f>
      </x:c>
      <x:c r="O153" s="16" t="str">
        <x:f>IF(A153="","",IF(OR(H153="Encerrado",H153="Descartado"),"Encerrado",IF(OR(H153="Sintomático",H153="Suspeito",H153="Confirmado",H153="Óbito"),"Requer avaliação/ação",IF(N153&lt;0,"Prazo concluído","Em monitoramento"))))</x:f>
      </x:c>
      <x:c r="P153" s="16" t="str">
        <x:f>IF(A153="","",IF(OR(E153="Manipulação do corpo",E153="Velório/funeral",E153="Sepultamento",E153="Limpeza/desinfecção"),"Pós-óbito",IF(OR(E153="Transporte do paciente",E153="Cuidado direto",E153="Contato com fluidos",E153="Serviço de saúde",E153="Laboratório"),"Exposição direta/assistencial","Exposição comunitária/outro")))</x:f>
      </x:c>
      <x:c r="Q153" s="16" t="str">
        <x:f>IF(A153="","",IF(P153="Pós-óbito","Sim","Não"))</x:f>
      </x:c>
    </x:row>
    <x:row r="154">
      <x:c r="A154" s="16" t="str"/>
      <x:c r="B154" s="16" t="str"/>
      <x:c r="C154" s="16" t="str"/>
      <x:c r="D154" s="28" t="str"/>
      <x:c r="E154" s="16" t="str"/>
      <x:c r="F154" s="16" t="str"/>
      <x:c r="G154" s="16" t="str"/>
      <x:c r="H154" s="16" t="str"/>
      <x:c r="I154" s="28" t="str"/>
      <x:c r="J154" s="28" t="str"/>
      <x:c r="K154" s="28" t="str"/>
      <x:c r="L154" s="16" t="str"/>
      <x:c r="M154" s="28" t="str">
        <x:f>IF(D154="","",D154+21)</x:f>
      </x:c>
      <x:c r="N154" s="16" t="str">
        <x:f>IF(M154="","",M154-TODAY())</x:f>
      </x:c>
      <x:c r="O154" s="16" t="str">
        <x:f>IF(A154="","",IF(OR(H154="Encerrado",H154="Descartado"),"Encerrado",IF(OR(H154="Sintomático",H154="Suspeito",H154="Confirmado",H154="Óbito"),"Requer avaliação/ação",IF(N154&lt;0,"Prazo concluído","Em monitoramento"))))</x:f>
      </x:c>
      <x:c r="P154" s="16" t="str">
        <x:f>IF(A154="","",IF(OR(E154="Manipulação do corpo",E154="Velório/funeral",E154="Sepultamento",E154="Limpeza/desinfecção"),"Pós-óbito",IF(OR(E154="Transporte do paciente",E154="Cuidado direto",E154="Contato com fluidos",E154="Serviço de saúde",E154="Laboratório"),"Exposição direta/assistencial","Exposição comunitária/outro")))</x:f>
      </x:c>
      <x:c r="Q154" s="16" t="str">
        <x:f>IF(A154="","",IF(P154="Pós-óbito","Sim","Não"))</x:f>
      </x:c>
    </x:row>
    <x:row r="155">
      <x:c r="A155" s="16" t="str"/>
      <x:c r="B155" s="16" t="str"/>
      <x:c r="C155" s="16" t="str"/>
      <x:c r="D155" s="28" t="str"/>
      <x:c r="E155" s="16" t="str"/>
      <x:c r="F155" s="16" t="str"/>
      <x:c r="G155" s="16" t="str"/>
      <x:c r="H155" s="16" t="str"/>
      <x:c r="I155" s="28" t="str"/>
      <x:c r="J155" s="28" t="str"/>
      <x:c r="K155" s="28" t="str"/>
      <x:c r="L155" s="16" t="str"/>
      <x:c r="M155" s="28" t="str">
        <x:f>IF(D155="","",D155+21)</x:f>
      </x:c>
      <x:c r="N155" s="16" t="str">
        <x:f>IF(M155="","",M155-TODAY())</x:f>
      </x:c>
      <x:c r="O155" s="16" t="str">
        <x:f>IF(A155="","",IF(OR(H155="Encerrado",H155="Descartado"),"Encerrado",IF(OR(H155="Sintomático",H155="Suspeito",H155="Confirmado",H155="Óbito"),"Requer avaliação/ação",IF(N155&lt;0,"Prazo concluído","Em monitoramento"))))</x:f>
      </x:c>
      <x:c r="P155" s="16" t="str">
        <x:f>IF(A155="","",IF(OR(E155="Manipulação do corpo",E155="Velório/funeral",E155="Sepultamento",E155="Limpeza/desinfecção"),"Pós-óbito",IF(OR(E155="Transporte do paciente",E155="Cuidado direto",E155="Contato com fluidos",E155="Serviço de saúde",E155="Laboratório"),"Exposição direta/assistencial","Exposição comunitária/outro")))</x:f>
      </x:c>
      <x:c r="Q155" s="16" t="str">
        <x:f>IF(A155="","",IF(P155="Pós-óbito","Sim","Não"))</x:f>
      </x:c>
    </x:row>
    <x:row r="156">
      <x:c r="A156" s="16" t="str"/>
      <x:c r="B156" s="16" t="str"/>
      <x:c r="C156" s="16" t="str"/>
      <x:c r="D156" s="28" t="str"/>
      <x:c r="E156" s="16" t="str"/>
      <x:c r="F156" s="16" t="str"/>
      <x:c r="G156" s="16" t="str"/>
      <x:c r="H156" s="16" t="str"/>
      <x:c r="I156" s="28" t="str"/>
      <x:c r="J156" s="28" t="str"/>
      <x:c r="K156" s="28" t="str"/>
      <x:c r="L156" s="16" t="str"/>
      <x:c r="M156" s="28" t="str">
        <x:f>IF(D156="","",D156+21)</x:f>
      </x:c>
      <x:c r="N156" s="16" t="str">
        <x:f>IF(M156="","",M156-TODAY())</x:f>
      </x:c>
      <x:c r="O156" s="16" t="str">
        <x:f>IF(A156="","",IF(OR(H156="Encerrado",H156="Descartado"),"Encerrado",IF(OR(H156="Sintomático",H156="Suspeito",H156="Confirmado",H156="Óbito"),"Requer avaliação/ação",IF(N156&lt;0,"Prazo concluído","Em monitoramento"))))</x:f>
      </x:c>
      <x:c r="P156" s="16" t="str">
        <x:f>IF(A156="","",IF(OR(E156="Manipulação do corpo",E156="Velório/funeral",E156="Sepultamento",E156="Limpeza/desinfecção"),"Pós-óbito",IF(OR(E156="Transporte do paciente",E156="Cuidado direto",E156="Contato com fluidos",E156="Serviço de saúde",E156="Laboratório"),"Exposição direta/assistencial","Exposição comunitária/outro")))</x:f>
      </x:c>
      <x:c r="Q156" s="16" t="str">
        <x:f>IF(A156="","",IF(P156="Pós-óbito","Sim","Não"))</x:f>
      </x:c>
    </x:row>
    <x:row r="157">
      <x:c r="A157" s="16" t="str"/>
      <x:c r="B157" s="16" t="str"/>
      <x:c r="C157" s="16" t="str"/>
      <x:c r="D157" s="28" t="str"/>
      <x:c r="E157" s="16" t="str"/>
      <x:c r="F157" s="16" t="str"/>
      <x:c r="G157" s="16" t="str"/>
      <x:c r="H157" s="16" t="str"/>
      <x:c r="I157" s="28" t="str"/>
      <x:c r="J157" s="28" t="str"/>
      <x:c r="K157" s="28" t="str"/>
      <x:c r="L157" s="16" t="str"/>
      <x:c r="M157" s="28" t="str">
        <x:f>IF(D157="","",D157+21)</x:f>
      </x:c>
      <x:c r="N157" s="16" t="str">
        <x:f>IF(M157="","",M157-TODAY())</x:f>
      </x:c>
      <x:c r="O157" s="16" t="str">
        <x:f>IF(A157="","",IF(OR(H157="Encerrado",H157="Descartado"),"Encerrado",IF(OR(H157="Sintomático",H157="Suspeito",H157="Confirmado",H157="Óbito"),"Requer avaliação/ação",IF(N157&lt;0,"Prazo concluído","Em monitoramento"))))</x:f>
      </x:c>
      <x:c r="P157" s="16" t="str">
        <x:f>IF(A157="","",IF(OR(E157="Manipulação do corpo",E157="Velório/funeral",E157="Sepultamento",E157="Limpeza/desinfecção"),"Pós-óbito",IF(OR(E157="Transporte do paciente",E157="Cuidado direto",E157="Contato com fluidos",E157="Serviço de saúde",E157="Laboratório"),"Exposição direta/assistencial","Exposição comunitária/outro")))</x:f>
      </x:c>
      <x:c r="Q157" s="16" t="str">
        <x:f>IF(A157="","",IF(P157="Pós-óbito","Sim","Não"))</x:f>
      </x:c>
    </x:row>
    <x:row r="158">
      <x:c r="A158" s="16" t="str"/>
      <x:c r="B158" s="16" t="str"/>
      <x:c r="C158" s="16" t="str"/>
      <x:c r="D158" s="28" t="str"/>
      <x:c r="E158" s="16" t="str"/>
      <x:c r="F158" s="16" t="str"/>
      <x:c r="G158" s="16" t="str"/>
      <x:c r="H158" s="16" t="str"/>
      <x:c r="I158" s="28" t="str"/>
      <x:c r="J158" s="28" t="str"/>
      <x:c r="K158" s="28" t="str"/>
      <x:c r="L158" s="16" t="str"/>
      <x:c r="M158" s="28" t="str">
        <x:f>IF(D158="","",D158+21)</x:f>
      </x:c>
      <x:c r="N158" s="16" t="str">
        <x:f>IF(M158="","",M158-TODAY())</x:f>
      </x:c>
      <x:c r="O158" s="16" t="str">
        <x:f>IF(A158="","",IF(OR(H158="Encerrado",H158="Descartado"),"Encerrado",IF(OR(H158="Sintomático",H158="Suspeito",H158="Confirmado",H158="Óbito"),"Requer avaliação/ação",IF(N158&lt;0,"Prazo concluído","Em monitoramento"))))</x:f>
      </x:c>
      <x:c r="P158" s="16" t="str">
        <x:f>IF(A158="","",IF(OR(E158="Manipulação do corpo",E158="Velório/funeral",E158="Sepultamento",E158="Limpeza/desinfecção"),"Pós-óbito",IF(OR(E158="Transporte do paciente",E158="Cuidado direto",E158="Contato com fluidos",E158="Serviço de saúde",E158="Laboratório"),"Exposição direta/assistencial","Exposição comunitária/outro")))</x:f>
      </x:c>
      <x:c r="Q158" s="16" t="str">
        <x:f>IF(A158="","",IF(P158="Pós-óbito","Sim","Não"))</x:f>
      </x:c>
    </x:row>
    <x:row r="159">
      <x:c r="A159" s="16" t="str"/>
      <x:c r="B159" s="16" t="str"/>
      <x:c r="C159" s="16" t="str"/>
      <x:c r="D159" s="28" t="str"/>
      <x:c r="E159" s="16" t="str"/>
      <x:c r="F159" s="16" t="str"/>
      <x:c r="G159" s="16" t="str"/>
      <x:c r="H159" s="16" t="str"/>
      <x:c r="I159" s="28" t="str"/>
      <x:c r="J159" s="28" t="str"/>
      <x:c r="K159" s="28" t="str"/>
      <x:c r="L159" s="16" t="str"/>
      <x:c r="M159" s="28" t="str">
        <x:f>IF(D159="","",D159+21)</x:f>
      </x:c>
      <x:c r="N159" s="16" t="str">
        <x:f>IF(M159="","",M159-TODAY())</x:f>
      </x:c>
      <x:c r="O159" s="16" t="str">
        <x:f>IF(A159="","",IF(OR(H159="Encerrado",H159="Descartado"),"Encerrado",IF(OR(H159="Sintomático",H159="Suspeito",H159="Confirmado",H159="Óbito"),"Requer avaliação/ação",IF(N159&lt;0,"Prazo concluído","Em monitoramento"))))</x:f>
      </x:c>
      <x:c r="P159" s="16" t="str">
        <x:f>IF(A159="","",IF(OR(E159="Manipulação do corpo",E159="Velório/funeral",E159="Sepultamento",E159="Limpeza/desinfecção"),"Pós-óbito",IF(OR(E159="Transporte do paciente",E159="Cuidado direto",E159="Contato com fluidos",E159="Serviço de saúde",E159="Laboratório"),"Exposição direta/assistencial","Exposição comunitária/outro")))</x:f>
      </x:c>
      <x:c r="Q159" s="16" t="str">
        <x:f>IF(A159="","",IF(P159="Pós-óbito","Sim","Não"))</x:f>
      </x:c>
    </x:row>
    <x:row r="160">
      <x:c r="A160" s="16" t="str"/>
      <x:c r="B160" s="16" t="str"/>
      <x:c r="C160" s="16" t="str"/>
      <x:c r="D160" s="28" t="str"/>
      <x:c r="E160" s="16" t="str"/>
      <x:c r="F160" s="16" t="str"/>
      <x:c r="G160" s="16" t="str"/>
      <x:c r="H160" s="16" t="str"/>
      <x:c r="I160" s="28" t="str"/>
      <x:c r="J160" s="28" t="str"/>
      <x:c r="K160" s="28" t="str"/>
      <x:c r="L160" s="16" t="str"/>
      <x:c r="M160" s="28" t="str">
        <x:f>IF(D160="","",D160+21)</x:f>
      </x:c>
      <x:c r="N160" s="16" t="str">
        <x:f>IF(M160="","",M160-TODAY())</x:f>
      </x:c>
      <x:c r="O160" s="16" t="str">
        <x:f>IF(A160="","",IF(OR(H160="Encerrado",H160="Descartado"),"Encerrado",IF(OR(H160="Sintomático",H160="Suspeito",H160="Confirmado",H160="Óbito"),"Requer avaliação/ação",IF(N160&lt;0,"Prazo concluído","Em monitoramento"))))</x:f>
      </x:c>
      <x:c r="P160" s="16" t="str">
        <x:f>IF(A160="","",IF(OR(E160="Manipulação do corpo",E160="Velório/funeral",E160="Sepultamento",E160="Limpeza/desinfecção"),"Pós-óbito",IF(OR(E160="Transporte do paciente",E160="Cuidado direto",E160="Contato com fluidos",E160="Serviço de saúde",E160="Laboratório"),"Exposição direta/assistencial","Exposição comunitária/outro")))</x:f>
      </x:c>
      <x:c r="Q160" s="16" t="str">
        <x:f>IF(A160="","",IF(P160="Pós-óbito","Sim","Não"))</x:f>
      </x:c>
    </x:row>
    <x:row r="161">
      <x:c r="A161" s="16" t="str"/>
      <x:c r="B161" s="16" t="str"/>
      <x:c r="C161" s="16" t="str"/>
      <x:c r="D161" s="28" t="str"/>
      <x:c r="E161" s="16" t="str"/>
      <x:c r="F161" s="16" t="str"/>
      <x:c r="G161" s="16" t="str"/>
      <x:c r="H161" s="16" t="str"/>
      <x:c r="I161" s="28" t="str"/>
      <x:c r="J161" s="28" t="str"/>
      <x:c r="K161" s="28" t="str"/>
      <x:c r="L161" s="16" t="str"/>
      <x:c r="M161" s="28" t="str">
        <x:f>IF(D161="","",D161+21)</x:f>
      </x:c>
      <x:c r="N161" s="16" t="str">
        <x:f>IF(M161="","",M161-TODAY())</x:f>
      </x:c>
      <x:c r="O161" s="16" t="str">
        <x:f>IF(A161="","",IF(OR(H161="Encerrado",H161="Descartado"),"Encerrado",IF(OR(H161="Sintomático",H161="Suspeito",H161="Confirmado",H161="Óbito"),"Requer avaliação/ação",IF(N161&lt;0,"Prazo concluído","Em monitoramento"))))</x:f>
      </x:c>
      <x:c r="P161" s="16" t="str">
        <x:f>IF(A161="","",IF(OR(E161="Manipulação do corpo",E161="Velório/funeral",E161="Sepultamento",E161="Limpeza/desinfecção"),"Pós-óbito",IF(OR(E161="Transporte do paciente",E161="Cuidado direto",E161="Contato com fluidos",E161="Serviço de saúde",E161="Laboratório"),"Exposição direta/assistencial","Exposição comunitária/outro")))</x:f>
      </x:c>
      <x:c r="Q161" s="16" t="str">
        <x:f>IF(A161="","",IF(P161="Pós-óbito","Sim","Não"))</x:f>
      </x:c>
    </x:row>
    <x:row r="162">
      <x:c r="A162" s="16" t="str"/>
      <x:c r="B162" s="16" t="str"/>
      <x:c r="C162" s="16" t="str"/>
      <x:c r="D162" s="28" t="str"/>
      <x:c r="E162" s="16" t="str"/>
      <x:c r="F162" s="16" t="str"/>
      <x:c r="G162" s="16" t="str"/>
      <x:c r="H162" s="16" t="str"/>
      <x:c r="I162" s="28" t="str"/>
      <x:c r="J162" s="28" t="str"/>
      <x:c r="K162" s="28" t="str"/>
      <x:c r="L162" s="16" t="str"/>
      <x:c r="M162" s="28" t="str">
        <x:f>IF(D162="","",D162+21)</x:f>
      </x:c>
      <x:c r="N162" s="16" t="str">
        <x:f>IF(M162="","",M162-TODAY())</x:f>
      </x:c>
      <x:c r="O162" s="16" t="str">
        <x:f>IF(A162="","",IF(OR(H162="Encerrado",H162="Descartado"),"Encerrado",IF(OR(H162="Sintomático",H162="Suspeito",H162="Confirmado",H162="Óbito"),"Requer avaliação/ação",IF(N162&lt;0,"Prazo concluído","Em monitoramento"))))</x:f>
      </x:c>
      <x:c r="P162" s="16" t="str">
        <x:f>IF(A162="","",IF(OR(E162="Manipulação do corpo",E162="Velório/funeral",E162="Sepultamento",E162="Limpeza/desinfecção"),"Pós-óbito",IF(OR(E162="Transporte do paciente",E162="Cuidado direto",E162="Contato com fluidos",E162="Serviço de saúde",E162="Laboratório"),"Exposição direta/assistencial","Exposição comunitária/outro")))</x:f>
      </x:c>
      <x:c r="Q162" s="16" t="str">
        <x:f>IF(A162="","",IF(P162="Pós-óbito","Sim","Não"))</x:f>
      </x:c>
    </x:row>
    <x:row r="163">
      <x:c r="A163" s="16" t="str"/>
      <x:c r="B163" s="16" t="str"/>
      <x:c r="C163" s="16" t="str"/>
      <x:c r="D163" s="28" t="str"/>
      <x:c r="E163" s="16" t="str"/>
      <x:c r="F163" s="16" t="str"/>
      <x:c r="G163" s="16" t="str"/>
      <x:c r="H163" s="16" t="str"/>
      <x:c r="I163" s="28" t="str"/>
      <x:c r="J163" s="28" t="str"/>
      <x:c r="K163" s="28" t="str"/>
      <x:c r="L163" s="16" t="str"/>
      <x:c r="M163" s="28" t="str">
        <x:f>IF(D163="","",D163+21)</x:f>
      </x:c>
      <x:c r="N163" s="16" t="str">
        <x:f>IF(M163="","",M163-TODAY())</x:f>
      </x:c>
      <x:c r="O163" s="16" t="str">
        <x:f>IF(A163="","",IF(OR(H163="Encerrado",H163="Descartado"),"Encerrado",IF(OR(H163="Sintomático",H163="Suspeito",H163="Confirmado",H163="Óbito"),"Requer avaliação/ação",IF(N163&lt;0,"Prazo concluído","Em monitoramento"))))</x:f>
      </x:c>
      <x:c r="P163" s="16" t="str">
        <x:f>IF(A163="","",IF(OR(E163="Manipulação do corpo",E163="Velório/funeral",E163="Sepultamento",E163="Limpeza/desinfecção"),"Pós-óbito",IF(OR(E163="Transporte do paciente",E163="Cuidado direto",E163="Contato com fluidos",E163="Serviço de saúde",E163="Laboratório"),"Exposição direta/assistencial","Exposição comunitária/outro")))</x:f>
      </x:c>
      <x:c r="Q163" s="16" t="str">
        <x:f>IF(A163="","",IF(P163="Pós-óbito","Sim","Não"))</x:f>
      </x:c>
    </x:row>
    <x:row r="164">
      <x:c r="A164" s="16" t="str"/>
      <x:c r="B164" s="16" t="str"/>
      <x:c r="C164" s="16" t="str"/>
      <x:c r="D164" s="28" t="str"/>
      <x:c r="E164" s="16" t="str"/>
      <x:c r="F164" s="16" t="str"/>
      <x:c r="G164" s="16" t="str"/>
      <x:c r="H164" s="16" t="str"/>
      <x:c r="I164" s="28" t="str"/>
      <x:c r="J164" s="28" t="str"/>
      <x:c r="K164" s="28" t="str"/>
      <x:c r="L164" s="16" t="str"/>
      <x:c r="M164" s="28" t="str">
        <x:f>IF(D164="","",D164+21)</x:f>
      </x:c>
      <x:c r="N164" s="16" t="str">
        <x:f>IF(M164="","",M164-TODAY())</x:f>
      </x:c>
      <x:c r="O164" s="16" t="str">
        <x:f>IF(A164="","",IF(OR(H164="Encerrado",H164="Descartado"),"Encerrado",IF(OR(H164="Sintomático",H164="Suspeito",H164="Confirmado",H164="Óbito"),"Requer avaliação/ação",IF(N164&lt;0,"Prazo concluído","Em monitoramento"))))</x:f>
      </x:c>
      <x:c r="P164" s="16" t="str">
        <x:f>IF(A164="","",IF(OR(E164="Manipulação do corpo",E164="Velório/funeral",E164="Sepultamento",E164="Limpeza/desinfecção"),"Pós-óbito",IF(OR(E164="Transporte do paciente",E164="Cuidado direto",E164="Contato com fluidos",E164="Serviço de saúde",E164="Laboratório"),"Exposição direta/assistencial","Exposição comunitária/outro")))</x:f>
      </x:c>
      <x:c r="Q164" s="16" t="str">
        <x:f>IF(A164="","",IF(P164="Pós-óbito","Sim","Não"))</x:f>
      </x:c>
    </x:row>
    <x:row r="165">
      <x:c r="A165" s="16" t="str"/>
      <x:c r="B165" s="16" t="str"/>
      <x:c r="C165" s="16" t="str"/>
      <x:c r="D165" s="28" t="str"/>
      <x:c r="E165" s="16" t="str"/>
      <x:c r="F165" s="16" t="str"/>
      <x:c r="G165" s="16" t="str"/>
      <x:c r="H165" s="16" t="str"/>
      <x:c r="I165" s="28" t="str"/>
      <x:c r="J165" s="28" t="str"/>
      <x:c r="K165" s="28" t="str"/>
      <x:c r="L165" s="16" t="str"/>
      <x:c r="M165" s="28" t="str">
        <x:f>IF(D165="","",D165+21)</x:f>
      </x:c>
      <x:c r="N165" s="16" t="str">
        <x:f>IF(M165="","",M165-TODAY())</x:f>
      </x:c>
      <x:c r="O165" s="16" t="str">
        <x:f>IF(A165="","",IF(OR(H165="Encerrado",H165="Descartado"),"Encerrado",IF(OR(H165="Sintomático",H165="Suspeito",H165="Confirmado",H165="Óbito"),"Requer avaliação/ação",IF(N165&lt;0,"Prazo concluído","Em monitoramento"))))</x:f>
      </x:c>
      <x:c r="P165" s="16" t="str">
        <x:f>IF(A165="","",IF(OR(E165="Manipulação do corpo",E165="Velório/funeral",E165="Sepultamento",E165="Limpeza/desinfecção"),"Pós-óbito",IF(OR(E165="Transporte do paciente",E165="Cuidado direto",E165="Contato com fluidos",E165="Serviço de saúde",E165="Laboratório"),"Exposição direta/assistencial","Exposição comunitária/outro")))</x:f>
      </x:c>
      <x:c r="Q165" s="16" t="str">
        <x:f>IF(A165="","",IF(P165="Pós-óbito","Sim","Não"))</x:f>
      </x:c>
    </x:row>
    <x:row r="166">
      <x:c r="A166" s="16" t="str"/>
      <x:c r="B166" s="16" t="str"/>
      <x:c r="C166" s="16" t="str"/>
      <x:c r="D166" s="28" t="str"/>
      <x:c r="E166" s="16" t="str"/>
      <x:c r="F166" s="16" t="str"/>
      <x:c r="G166" s="16" t="str"/>
      <x:c r="H166" s="16" t="str"/>
      <x:c r="I166" s="28" t="str"/>
      <x:c r="J166" s="28" t="str"/>
      <x:c r="K166" s="28" t="str"/>
      <x:c r="L166" s="16" t="str"/>
      <x:c r="M166" s="28" t="str">
        <x:f>IF(D166="","",D166+21)</x:f>
      </x:c>
      <x:c r="N166" s="16" t="str">
        <x:f>IF(M166="","",M166-TODAY())</x:f>
      </x:c>
      <x:c r="O166" s="16" t="str">
        <x:f>IF(A166="","",IF(OR(H166="Encerrado",H166="Descartado"),"Encerrado",IF(OR(H166="Sintomático",H166="Suspeito",H166="Confirmado",H166="Óbito"),"Requer avaliação/ação",IF(N166&lt;0,"Prazo concluído","Em monitoramento"))))</x:f>
      </x:c>
      <x:c r="P166" s="16" t="str">
        <x:f>IF(A166="","",IF(OR(E166="Manipulação do corpo",E166="Velório/funeral",E166="Sepultamento",E166="Limpeza/desinfecção"),"Pós-óbito",IF(OR(E166="Transporte do paciente",E166="Cuidado direto",E166="Contato com fluidos",E166="Serviço de saúde",E166="Laboratório"),"Exposição direta/assistencial","Exposição comunitária/outro")))</x:f>
      </x:c>
      <x:c r="Q166" s="16" t="str">
        <x:f>IF(A166="","",IF(P166="Pós-óbito","Sim","Não"))</x:f>
      </x:c>
    </x:row>
    <x:row r="167">
      <x:c r="A167" s="16" t="str"/>
      <x:c r="B167" s="16" t="str"/>
      <x:c r="C167" s="16" t="str"/>
      <x:c r="D167" s="28" t="str"/>
      <x:c r="E167" s="16" t="str"/>
      <x:c r="F167" s="16" t="str"/>
      <x:c r="G167" s="16" t="str"/>
      <x:c r="H167" s="16" t="str"/>
      <x:c r="I167" s="28" t="str"/>
      <x:c r="J167" s="28" t="str"/>
      <x:c r="K167" s="28" t="str"/>
      <x:c r="L167" s="16" t="str"/>
      <x:c r="M167" s="28" t="str">
        <x:f>IF(D167="","",D167+21)</x:f>
      </x:c>
      <x:c r="N167" s="16" t="str">
        <x:f>IF(M167="","",M167-TODAY())</x:f>
      </x:c>
      <x:c r="O167" s="16" t="str">
        <x:f>IF(A167="","",IF(OR(H167="Encerrado",H167="Descartado"),"Encerrado",IF(OR(H167="Sintomático",H167="Suspeito",H167="Confirmado",H167="Óbito"),"Requer avaliação/ação",IF(N167&lt;0,"Prazo concluído","Em monitoramento"))))</x:f>
      </x:c>
      <x:c r="P167" s="16" t="str">
        <x:f>IF(A167="","",IF(OR(E167="Manipulação do corpo",E167="Velório/funeral",E167="Sepultamento",E167="Limpeza/desinfecção"),"Pós-óbito",IF(OR(E167="Transporte do paciente",E167="Cuidado direto",E167="Contato com fluidos",E167="Serviço de saúde",E167="Laboratório"),"Exposição direta/assistencial","Exposição comunitária/outro")))</x:f>
      </x:c>
      <x:c r="Q167" s="16" t="str">
        <x:f>IF(A167="","",IF(P167="Pós-óbito","Sim","Não"))</x:f>
      </x:c>
    </x:row>
    <x:row r="168">
      <x:c r="A168" s="16" t="str"/>
      <x:c r="B168" s="16" t="str"/>
      <x:c r="C168" s="16" t="str"/>
      <x:c r="D168" s="28" t="str"/>
      <x:c r="E168" s="16" t="str"/>
      <x:c r="F168" s="16" t="str"/>
      <x:c r="G168" s="16" t="str"/>
      <x:c r="H168" s="16" t="str"/>
      <x:c r="I168" s="28" t="str"/>
      <x:c r="J168" s="28" t="str"/>
      <x:c r="K168" s="28" t="str"/>
      <x:c r="L168" s="16" t="str"/>
      <x:c r="M168" s="28" t="str">
        <x:f>IF(D168="","",D168+21)</x:f>
      </x:c>
      <x:c r="N168" s="16" t="str">
        <x:f>IF(M168="","",M168-TODAY())</x:f>
      </x:c>
      <x:c r="O168" s="16" t="str">
        <x:f>IF(A168="","",IF(OR(H168="Encerrado",H168="Descartado"),"Encerrado",IF(OR(H168="Sintomático",H168="Suspeito",H168="Confirmado",H168="Óbito"),"Requer avaliação/ação",IF(N168&lt;0,"Prazo concluído","Em monitoramento"))))</x:f>
      </x:c>
      <x:c r="P168" s="16" t="str">
        <x:f>IF(A168="","",IF(OR(E168="Manipulação do corpo",E168="Velório/funeral",E168="Sepultamento",E168="Limpeza/desinfecção"),"Pós-óbito",IF(OR(E168="Transporte do paciente",E168="Cuidado direto",E168="Contato com fluidos",E168="Serviço de saúde",E168="Laboratório"),"Exposição direta/assistencial","Exposição comunitária/outro")))</x:f>
      </x:c>
      <x:c r="Q168" s="16" t="str">
        <x:f>IF(A168="","",IF(P168="Pós-óbito","Sim","Não"))</x:f>
      </x:c>
    </x:row>
    <x:row r="169">
      <x:c r="A169" s="16" t="str"/>
      <x:c r="B169" s="16" t="str"/>
      <x:c r="C169" s="16" t="str"/>
      <x:c r="D169" s="28" t="str"/>
      <x:c r="E169" s="16" t="str"/>
      <x:c r="F169" s="16" t="str"/>
      <x:c r="G169" s="16" t="str"/>
      <x:c r="H169" s="16" t="str"/>
      <x:c r="I169" s="28" t="str"/>
      <x:c r="J169" s="28" t="str"/>
      <x:c r="K169" s="28" t="str"/>
      <x:c r="L169" s="16" t="str"/>
      <x:c r="M169" s="28" t="str">
        <x:f>IF(D169="","",D169+21)</x:f>
      </x:c>
      <x:c r="N169" s="16" t="str">
        <x:f>IF(M169="","",M169-TODAY())</x:f>
      </x:c>
      <x:c r="O169" s="16" t="str">
        <x:f>IF(A169="","",IF(OR(H169="Encerrado",H169="Descartado"),"Encerrado",IF(OR(H169="Sintomático",H169="Suspeito",H169="Confirmado",H169="Óbito"),"Requer avaliação/ação",IF(N169&lt;0,"Prazo concluído","Em monitoramento"))))</x:f>
      </x:c>
      <x:c r="P169" s="16" t="str">
        <x:f>IF(A169="","",IF(OR(E169="Manipulação do corpo",E169="Velório/funeral",E169="Sepultamento",E169="Limpeza/desinfecção"),"Pós-óbito",IF(OR(E169="Transporte do paciente",E169="Cuidado direto",E169="Contato com fluidos",E169="Serviço de saúde",E169="Laboratório"),"Exposição direta/assistencial","Exposição comunitária/outro")))</x:f>
      </x:c>
      <x:c r="Q169" s="16" t="str">
        <x:f>IF(A169="","",IF(P169="Pós-óbito","Sim","Não"))</x:f>
      </x:c>
    </x:row>
    <x:row r="170">
      <x:c r="A170" s="16" t="str"/>
      <x:c r="B170" s="16" t="str"/>
      <x:c r="C170" s="16" t="str"/>
      <x:c r="D170" s="28" t="str"/>
      <x:c r="E170" s="16" t="str"/>
      <x:c r="F170" s="16" t="str"/>
      <x:c r="G170" s="16" t="str"/>
      <x:c r="H170" s="16" t="str"/>
      <x:c r="I170" s="28" t="str"/>
      <x:c r="J170" s="28" t="str"/>
      <x:c r="K170" s="28" t="str"/>
      <x:c r="L170" s="16" t="str"/>
      <x:c r="M170" s="28" t="str">
        <x:f>IF(D170="","",D170+21)</x:f>
      </x:c>
      <x:c r="N170" s="16" t="str">
        <x:f>IF(M170="","",M170-TODAY())</x:f>
      </x:c>
      <x:c r="O170" s="16" t="str">
        <x:f>IF(A170="","",IF(OR(H170="Encerrado",H170="Descartado"),"Encerrado",IF(OR(H170="Sintomático",H170="Suspeito",H170="Confirmado",H170="Óbito"),"Requer avaliação/ação",IF(N170&lt;0,"Prazo concluído","Em monitoramento"))))</x:f>
      </x:c>
      <x:c r="P170" s="16" t="str">
        <x:f>IF(A170="","",IF(OR(E170="Manipulação do corpo",E170="Velório/funeral",E170="Sepultamento",E170="Limpeza/desinfecção"),"Pós-óbito",IF(OR(E170="Transporte do paciente",E170="Cuidado direto",E170="Contato com fluidos",E170="Serviço de saúde",E170="Laboratório"),"Exposição direta/assistencial","Exposição comunitária/outro")))</x:f>
      </x:c>
      <x:c r="Q170" s="16" t="str">
        <x:f>IF(A170="","",IF(P170="Pós-óbito","Sim","Não"))</x:f>
      </x:c>
    </x:row>
    <x:row r="171">
      <x:c r="A171" s="16" t="str"/>
      <x:c r="B171" s="16" t="str"/>
      <x:c r="C171" s="16" t="str"/>
      <x:c r="D171" s="28" t="str"/>
      <x:c r="E171" s="16" t="str"/>
      <x:c r="F171" s="16" t="str"/>
      <x:c r="G171" s="16" t="str"/>
      <x:c r="H171" s="16" t="str"/>
      <x:c r="I171" s="28" t="str"/>
      <x:c r="J171" s="28" t="str"/>
      <x:c r="K171" s="28" t="str"/>
      <x:c r="L171" s="16" t="str"/>
      <x:c r="M171" s="28" t="str">
        <x:f>IF(D171="","",D171+21)</x:f>
      </x:c>
      <x:c r="N171" s="16" t="str">
        <x:f>IF(M171="","",M171-TODAY())</x:f>
      </x:c>
      <x:c r="O171" s="16" t="str">
        <x:f>IF(A171="","",IF(OR(H171="Encerrado",H171="Descartado"),"Encerrado",IF(OR(H171="Sintomático",H171="Suspeito",H171="Confirmado",H171="Óbito"),"Requer avaliação/ação",IF(N171&lt;0,"Prazo concluído","Em monitoramento"))))</x:f>
      </x:c>
      <x:c r="P171" s="16" t="str">
        <x:f>IF(A171="","",IF(OR(E171="Manipulação do corpo",E171="Velório/funeral",E171="Sepultamento",E171="Limpeza/desinfecção"),"Pós-óbito",IF(OR(E171="Transporte do paciente",E171="Cuidado direto",E171="Contato com fluidos",E171="Serviço de saúde",E171="Laboratório"),"Exposição direta/assistencial","Exposição comunitária/outro")))</x:f>
      </x:c>
      <x:c r="Q171" s="16" t="str">
        <x:f>IF(A171="","",IF(P171="Pós-óbito","Sim","Não"))</x:f>
      </x:c>
    </x:row>
    <x:row r="172">
      <x:c r="A172" s="16" t="str"/>
      <x:c r="B172" s="16" t="str"/>
      <x:c r="C172" s="16" t="str"/>
      <x:c r="D172" s="28" t="str"/>
      <x:c r="E172" s="16" t="str"/>
      <x:c r="F172" s="16" t="str"/>
      <x:c r="G172" s="16" t="str"/>
      <x:c r="H172" s="16" t="str"/>
      <x:c r="I172" s="28" t="str"/>
      <x:c r="J172" s="28" t="str"/>
      <x:c r="K172" s="28" t="str"/>
      <x:c r="L172" s="16" t="str"/>
      <x:c r="M172" s="28" t="str">
        <x:f>IF(D172="","",D172+21)</x:f>
      </x:c>
      <x:c r="N172" s="16" t="str">
        <x:f>IF(M172="","",M172-TODAY())</x:f>
      </x:c>
      <x:c r="O172" s="16" t="str">
        <x:f>IF(A172="","",IF(OR(H172="Encerrado",H172="Descartado"),"Encerrado",IF(OR(H172="Sintomático",H172="Suspeito",H172="Confirmado",H172="Óbito"),"Requer avaliação/ação",IF(N172&lt;0,"Prazo concluído","Em monitoramento"))))</x:f>
      </x:c>
      <x:c r="P172" s="16" t="str">
        <x:f>IF(A172="","",IF(OR(E172="Manipulação do corpo",E172="Velório/funeral",E172="Sepultamento",E172="Limpeza/desinfecção"),"Pós-óbito",IF(OR(E172="Transporte do paciente",E172="Cuidado direto",E172="Contato com fluidos",E172="Serviço de saúde",E172="Laboratório"),"Exposição direta/assistencial","Exposição comunitária/outro")))</x:f>
      </x:c>
      <x:c r="Q172" s="16" t="str">
        <x:f>IF(A172="","",IF(P172="Pós-óbito","Sim","Não"))</x:f>
      </x:c>
    </x:row>
    <x:row r="173">
      <x:c r="A173" s="16" t="str"/>
      <x:c r="B173" s="16" t="str"/>
      <x:c r="C173" s="16" t="str"/>
      <x:c r="D173" s="28" t="str"/>
      <x:c r="E173" s="16" t="str"/>
      <x:c r="F173" s="16" t="str"/>
      <x:c r="G173" s="16" t="str"/>
      <x:c r="H173" s="16" t="str"/>
      <x:c r="I173" s="28" t="str"/>
      <x:c r="J173" s="28" t="str"/>
      <x:c r="K173" s="28" t="str"/>
      <x:c r="L173" s="16" t="str"/>
      <x:c r="M173" s="28" t="str">
        <x:f>IF(D173="","",D173+21)</x:f>
      </x:c>
      <x:c r="N173" s="16" t="str">
        <x:f>IF(M173="","",M173-TODAY())</x:f>
      </x:c>
      <x:c r="O173" s="16" t="str">
        <x:f>IF(A173="","",IF(OR(H173="Encerrado",H173="Descartado"),"Encerrado",IF(OR(H173="Sintomático",H173="Suspeito",H173="Confirmado",H173="Óbito"),"Requer avaliação/ação",IF(N173&lt;0,"Prazo concluído","Em monitoramento"))))</x:f>
      </x:c>
      <x:c r="P173" s="16" t="str">
        <x:f>IF(A173="","",IF(OR(E173="Manipulação do corpo",E173="Velório/funeral",E173="Sepultamento",E173="Limpeza/desinfecção"),"Pós-óbito",IF(OR(E173="Transporte do paciente",E173="Cuidado direto",E173="Contato com fluidos",E173="Serviço de saúde",E173="Laboratório"),"Exposição direta/assistencial","Exposição comunitária/outro")))</x:f>
      </x:c>
      <x:c r="Q173" s="16" t="str">
        <x:f>IF(A173="","",IF(P173="Pós-óbito","Sim","Não"))</x:f>
      </x:c>
    </x:row>
    <x:row r="174">
      <x:c r="A174" s="16" t="str"/>
      <x:c r="B174" s="16" t="str"/>
      <x:c r="C174" s="16" t="str"/>
      <x:c r="D174" s="28" t="str"/>
      <x:c r="E174" s="16" t="str"/>
      <x:c r="F174" s="16" t="str"/>
      <x:c r="G174" s="16" t="str"/>
      <x:c r="H174" s="16" t="str"/>
      <x:c r="I174" s="28" t="str"/>
      <x:c r="J174" s="28" t="str"/>
      <x:c r="K174" s="28" t="str"/>
      <x:c r="L174" s="16" t="str"/>
      <x:c r="M174" s="28" t="str">
        <x:f>IF(D174="","",D174+21)</x:f>
      </x:c>
      <x:c r="N174" s="16" t="str">
        <x:f>IF(M174="","",M174-TODAY())</x:f>
      </x:c>
      <x:c r="O174" s="16" t="str">
        <x:f>IF(A174="","",IF(OR(H174="Encerrado",H174="Descartado"),"Encerrado",IF(OR(H174="Sintomático",H174="Suspeito",H174="Confirmado",H174="Óbito"),"Requer avaliação/ação",IF(N174&lt;0,"Prazo concluído","Em monitoramento"))))</x:f>
      </x:c>
      <x:c r="P174" s="16" t="str">
        <x:f>IF(A174="","",IF(OR(E174="Manipulação do corpo",E174="Velório/funeral",E174="Sepultamento",E174="Limpeza/desinfecção"),"Pós-óbito",IF(OR(E174="Transporte do paciente",E174="Cuidado direto",E174="Contato com fluidos",E174="Serviço de saúde",E174="Laboratório"),"Exposição direta/assistencial","Exposição comunitária/outro")))</x:f>
      </x:c>
      <x:c r="Q174" s="16" t="str">
        <x:f>IF(A174="","",IF(P174="Pós-óbito","Sim","Não"))</x:f>
      </x:c>
    </x:row>
    <x:row r="175">
      <x:c r="A175" s="16" t="str"/>
      <x:c r="B175" s="16" t="str"/>
      <x:c r="C175" s="16" t="str"/>
      <x:c r="D175" s="28" t="str"/>
      <x:c r="E175" s="16" t="str"/>
      <x:c r="F175" s="16" t="str"/>
      <x:c r="G175" s="16" t="str"/>
      <x:c r="H175" s="16" t="str"/>
      <x:c r="I175" s="28" t="str"/>
      <x:c r="J175" s="28" t="str"/>
      <x:c r="K175" s="28" t="str"/>
      <x:c r="L175" s="16" t="str"/>
      <x:c r="M175" s="28" t="str">
        <x:f>IF(D175="","",D175+21)</x:f>
      </x:c>
      <x:c r="N175" s="16" t="str">
        <x:f>IF(M175="","",M175-TODAY())</x:f>
      </x:c>
      <x:c r="O175" s="16" t="str">
        <x:f>IF(A175="","",IF(OR(H175="Encerrado",H175="Descartado"),"Encerrado",IF(OR(H175="Sintomático",H175="Suspeito",H175="Confirmado",H175="Óbito"),"Requer avaliação/ação",IF(N175&lt;0,"Prazo concluído","Em monitoramento"))))</x:f>
      </x:c>
      <x:c r="P175" s="16" t="str">
        <x:f>IF(A175="","",IF(OR(E175="Manipulação do corpo",E175="Velório/funeral",E175="Sepultamento",E175="Limpeza/desinfecção"),"Pós-óbito",IF(OR(E175="Transporte do paciente",E175="Cuidado direto",E175="Contato com fluidos",E175="Serviço de saúde",E175="Laboratório"),"Exposição direta/assistencial","Exposição comunitária/outro")))</x:f>
      </x:c>
      <x:c r="Q175" s="16" t="str">
        <x:f>IF(A175="","",IF(P175="Pós-óbito","Sim","Não"))</x:f>
      </x:c>
    </x:row>
    <x:row r="176">
      <x:c r="A176" s="16" t="str"/>
      <x:c r="B176" s="16" t="str"/>
      <x:c r="C176" s="16" t="str"/>
      <x:c r="D176" s="28" t="str"/>
      <x:c r="E176" s="16" t="str"/>
      <x:c r="F176" s="16" t="str"/>
      <x:c r="G176" s="16" t="str"/>
      <x:c r="H176" s="16" t="str"/>
      <x:c r="I176" s="28" t="str"/>
      <x:c r="J176" s="28" t="str"/>
      <x:c r="K176" s="28" t="str"/>
      <x:c r="L176" s="16" t="str"/>
      <x:c r="M176" s="28" t="str">
        <x:f>IF(D176="","",D176+21)</x:f>
      </x:c>
      <x:c r="N176" s="16" t="str">
        <x:f>IF(M176="","",M176-TODAY())</x:f>
      </x:c>
      <x:c r="O176" s="16" t="str">
        <x:f>IF(A176="","",IF(OR(H176="Encerrado",H176="Descartado"),"Encerrado",IF(OR(H176="Sintomático",H176="Suspeito",H176="Confirmado",H176="Óbito"),"Requer avaliação/ação",IF(N176&lt;0,"Prazo concluído","Em monitoramento"))))</x:f>
      </x:c>
      <x:c r="P176" s="16" t="str">
        <x:f>IF(A176="","",IF(OR(E176="Manipulação do corpo",E176="Velório/funeral",E176="Sepultamento",E176="Limpeza/desinfecção"),"Pós-óbito",IF(OR(E176="Transporte do paciente",E176="Cuidado direto",E176="Contato com fluidos",E176="Serviço de saúde",E176="Laboratório"),"Exposição direta/assistencial","Exposição comunitária/outro")))</x:f>
      </x:c>
      <x:c r="Q176" s="16" t="str">
        <x:f>IF(A176="","",IF(P176="Pós-óbito","Sim","Não"))</x:f>
      </x:c>
    </x:row>
    <x:row r="177">
      <x:c r="A177" s="16" t="str"/>
      <x:c r="B177" s="16" t="str"/>
      <x:c r="C177" s="16" t="str"/>
      <x:c r="D177" s="28" t="str"/>
      <x:c r="E177" s="16" t="str"/>
      <x:c r="F177" s="16" t="str"/>
      <x:c r="G177" s="16" t="str"/>
      <x:c r="H177" s="16" t="str"/>
      <x:c r="I177" s="28" t="str"/>
      <x:c r="J177" s="28" t="str"/>
      <x:c r="K177" s="28" t="str"/>
      <x:c r="L177" s="16" t="str"/>
      <x:c r="M177" s="28" t="str">
        <x:f>IF(D177="","",D177+21)</x:f>
      </x:c>
      <x:c r="N177" s="16" t="str">
        <x:f>IF(M177="","",M177-TODAY())</x:f>
      </x:c>
      <x:c r="O177" s="16" t="str">
        <x:f>IF(A177="","",IF(OR(H177="Encerrado",H177="Descartado"),"Encerrado",IF(OR(H177="Sintomático",H177="Suspeito",H177="Confirmado",H177="Óbito"),"Requer avaliação/ação",IF(N177&lt;0,"Prazo concluído","Em monitoramento"))))</x:f>
      </x:c>
      <x:c r="P177" s="16" t="str">
        <x:f>IF(A177="","",IF(OR(E177="Manipulação do corpo",E177="Velório/funeral",E177="Sepultamento",E177="Limpeza/desinfecção"),"Pós-óbito",IF(OR(E177="Transporte do paciente",E177="Cuidado direto",E177="Contato com fluidos",E177="Serviço de saúde",E177="Laboratório"),"Exposição direta/assistencial","Exposição comunitária/outro")))</x:f>
      </x:c>
      <x:c r="Q177" s="16" t="str">
        <x:f>IF(A177="","",IF(P177="Pós-óbito","Sim","Não"))</x:f>
      </x:c>
    </x:row>
    <x:row r="178">
      <x:c r="A178" s="16" t="str"/>
      <x:c r="B178" s="16" t="str"/>
      <x:c r="C178" s="16" t="str"/>
      <x:c r="D178" s="28" t="str"/>
      <x:c r="E178" s="16" t="str"/>
      <x:c r="F178" s="16" t="str"/>
      <x:c r="G178" s="16" t="str"/>
      <x:c r="H178" s="16" t="str"/>
      <x:c r="I178" s="28" t="str"/>
      <x:c r="J178" s="28" t="str"/>
      <x:c r="K178" s="28" t="str"/>
      <x:c r="L178" s="16" t="str"/>
      <x:c r="M178" s="28" t="str">
        <x:f>IF(D178="","",D178+21)</x:f>
      </x:c>
      <x:c r="N178" s="16" t="str">
        <x:f>IF(M178="","",M178-TODAY())</x:f>
      </x:c>
      <x:c r="O178" s="16" t="str">
        <x:f>IF(A178="","",IF(OR(H178="Encerrado",H178="Descartado"),"Encerrado",IF(OR(H178="Sintomático",H178="Suspeito",H178="Confirmado",H178="Óbito"),"Requer avaliação/ação",IF(N178&lt;0,"Prazo concluído","Em monitoramento"))))</x:f>
      </x:c>
      <x:c r="P178" s="16" t="str">
        <x:f>IF(A178="","",IF(OR(E178="Manipulação do corpo",E178="Velório/funeral",E178="Sepultamento",E178="Limpeza/desinfecção"),"Pós-óbito",IF(OR(E178="Transporte do paciente",E178="Cuidado direto",E178="Contato com fluidos",E178="Serviço de saúde",E178="Laboratório"),"Exposição direta/assistencial","Exposição comunitária/outro")))</x:f>
      </x:c>
      <x:c r="Q178" s="16" t="str">
        <x:f>IF(A178="","",IF(P178="Pós-óbito","Sim","Não"))</x:f>
      </x:c>
    </x:row>
    <x:row r="179">
      <x:c r="A179" s="16" t="str"/>
      <x:c r="B179" s="16" t="str"/>
      <x:c r="C179" s="16" t="str"/>
      <x:c r="D179" s="28" t="str"/>
      <x:c r="E179" s="16" t="str"/>
      <x:c r="F179" s="16" t="str"/>
      <x:c r="G179" s="16" t="str"/>
      <x:c r="H179" s="16" t="str"/>
      <x:c r="I179" s="28" t="str"/>
      <x:c r="J179" s="28" t="str"/>
      <x:c r="K179" s="28" t="str"/>
      <x:c r="L179" s="16" t="str"/>
      <x:c r="M179" s="28" t="str">
        <x:f>IF(D179="","",D179+21)</x:f>
      </x:c>
      <x:c r="N179" s="16" t="str">
        <x:f>IF(M179="","",M179-TODAY())</x:f>
      </x:c>
      <x:c r="O179" s="16" t="str">
        <x:f>IF(A179="","",IF(OR(H179="Encerrado",H179="Descartado"),"Encerrado",IF(OR(H179="Sintomático",H179="Suspeito",H179="Confirmado",H179="Óbito"),"Requer avaliação/ação",IF(N179&lt;0,"Prazo concluído","Em monitoramento"))))</x:f>
      </x:c>
      <x:c r="P179" s="16" t="str">
        <x:f>IF(A179="","",IF(OR(E179="Manipulação do corpo",E179="Velório/funeral",E179="Sepultamento",E179="Limpeza/desinfecção"),"Pós-óbito",IF(OR(E179="Transporte do paciente",E179="Cuidado direto",E179="Contato com fluidos",E179="Serviço de saúde",E179="Laboratório"),"Exposição direta/assistencial","Exposição comunitária/outro")))</x:f>
      </x:c>
      <x:c r="Q179" s="16" t="str">
        <x:f>IF(A179="","",IF(P179="Pós-óbito","Sim","Não"))</x:f>
      </x:c>
    </x:row>
    <x:row r="180">
      <x:c r="A180" s="16" t="str"/>
      <x:c r="B180" s="16" t="str"/>
      <x:c r="C180" s="16" t="str"/>
      <x:c r="D180" s="28" t="str"/>
      <x:c r="E180" s="16" t="str"/>
      <x:c r="F180" s="16" t="str"/>
      <x:c r="G180" s="16" t="str"/>
      <x:c r="H180" s="16" t="str"/>
      <x:c r="I180" s="28" t="str"/>
      <x:c r="J180" s="28" t="str"/>
      <x:c r="K180" s="28" t="str"/>
      <x:c r="L180" s="16" t="str"/>
      <x:c r="M180" s="28" t="str">
        <x:f>IF(D180="","",D180+21)</x:f>
      </x:c>
      <x:c r="N180" s="16" t="str">
        <x:f>IF(M180="","",M180-TODAY())</x:f>
      </x:c>
      <x:c r="O180" s="16" t="str">
        <x:f>IF(A180="","",IF(OR(H180="Encerrado",H180="Descartado"),"Encerrado",IF(OR(H180="Sintomático",H180="Suspeito",H180="Confirmado",H180="Óbito"),"Requer avaliação/ação",IF(N180&lt;0,"Prazo concluído","Em monitoramento"))))</x:f>
      </x:c>
      <x:c r="P180" s="16" t="str">
        <x:f>IF(A180="","",IF(OR(E180="Manipulação do corpo",E180="Velório/funeral",E180="Sepultamento",E180="Limpeza/desinfecção"),"Pós-óbito",IF(OR(E180="Transporte do paciente",E180="Cuidado direto",E180="Contato com fluidos",E180="Serviço de saúde",E180="Laboratório"),"Exposição direta/assistencial","Exposição comunitária/outro")))</x:f>
      </x:c>
      <x:c r="Q180" s="16" t="str">
        <x:f>IF(A180="","",IF(P180="Pós-óbito","Sim","Não"))</x:f>
      </x:c>
    </x:row>
    <x:row r="181">
      <x:c r="A181" s="16" t="str"/>
      <x:c r="B181" s="16" t="str"/>
      <x:c r="C181" s="16" t="str"/>
      <x:c r="D181" s="28" t="str"/>
      <x:c r="E181" s="16" t="str"/>
      <x:c r="F181" s="16" t="str"/>
      <x:c r="G181" s="16" t="str"/>
      <x:c r="H181" s="16" t="str"/>
      <x:c r="I181" s="28" t="str"/>
      <x:c r="J181" s="28" t="str"/>
      <x:c r="K181" s="28" t="str"/>
      <x:c r="L181" s="16" t="str"/>
      <x:c r="M181" s="28" t="str">
        <x:f>IF(D181="","",D181+21)</x:f>
      </x:c>
      <x:c r="N181" s="16" t="str">
        <x:f>IF(M181="","",M181-TODAY())</x:f>
      </x:c>
      <x:c r="O181" s="16" t="str">
        <x:f>IF(A181="","",IF(OR(H181="Encerrado",H181="Descartado"),"Encerrado",IF(OR(H181="Sintomático",H181="Suspeito",H181="Confirmado",H181="Óbito"),"Requer avaliação/ação",IF(N181&lt;0,"Prazo concluído","Em monitoramento"))))</x:f>
      </x:c>
      <x:c r="P181" s="16" t="str">
        <x:f>IF(A181="","",IF(OR(E181="Manipulação do corpo",E181="Velório/funeral",E181="Sepultamento",E181="Limpeza/desinfecção"),"Pós-óbito",IF(OR(E181="Transporte do paciente",E181="Cuidado direto",E181="Contato com fluidos",E181="Serviço de saúde",E181="Laboratório"),"Exposição direta/assistencial","Exposição comunitária/outro")))</x:f>
      </x:c>
      <x:c r="Q181" s="16" t="str">
        <x:f>IF(A181="","",IF(P181="Pós-óbito","Sim","Não"))</x:f>
      </x:c>
    </x:row>
    <x:row r="182">
      <x:c r="A182" s="16" t="str"/>
      <x:c r="B182" s="16" t="str"/>
      <x:c r="C182" s="16" t="str"/>
      <x:c r="D182" s="28" t="str"/>
      <x:c r="E182" s="16" t="str"/>
      <x:c r="F182" s="16" t="str"/>
      <x:c r="G182" s="16" t="str"/>
      <x:c r="H182" s="16" t="str"/>
      <x:c r="I182" s="28" t="str"/>
      <x:c r="J182" s="28" t="str"/>
      <x:c r="K182" s="28" t="str"/>
      <x:c r="L182" s="16" t="str"/>
      <x:c r="M182" s="28" t="str">
        <x:f>IF(D182="","",D182+21)</x:f>
      </x:c>
      <x:c r="N182" s="16" t="str">
        <x:f>IF(M182="","",M182-TODAY())</x:f>
      </x:c>
      <x:c r="O182" s="16" t="str">
        <x:f>IF(A182="","",IF(OR(H182="Encerrado",H182="Descartado"),"Encerrado",IF(OR(H182="Sintomático",H182="Suspeito",H182="Confirmado",H182="Óbito"),"Requer avaliação/ação",IF(N182&lt;0,"Prazo concluído","Em monitoramento"))))</x:f>
      </x:c>
      <x:c r="P182" s="16" t="str">
        <x:f>IF(A182="","",IF(OR(E182="Manipulação do corpo",E182="Velório/funeral",E182="Sepultamento",E182="Limpeza/desinfecção"),"Pós-óbito",IF(OR(E182="Transporte do paciente",E182="Cuidado direto",E182="Contato com fluidos",E182="Serviço de saúde",E182="Laboratório"),"Exposição direta/assistencial","Exposição comunitária/outro")))</x:f>
      </x:c>
      <x:c r="Q182" s="16" t="str">
        <x:f>IF(A182="","",IF(P182="Pós-óbito","Sim","Não"))</x:f>
      </x:c>
    </x:row>
    <x:row r="183">
      <x:c r="A183" s="16" t="str"/>
      <x:c r="B183" s="16" t="str"/>
      <x:c r="C183" s="16" t="str"/>
      <x:c r="D183" s="28" t="str"/>
      <x:c r="E183" s="16" t="str"/>
      <x:c r="F183" s="16" t="str"/>
      <x:c r="G183" s="16" t="str"/>
      <x:c r="H183" s="16" t="str"/>
      <x:c r="I183" s="28" t="str"/>
      <x:c r="J183" s="28" t="str"/>
      <x:c r="K183" s="28" t="str"/>
      <x:c r="L183" s="16" t="str"/>
      <x:c r="M183" s="28" t="str">
        <x:f>IF(D183="","",D183+21)</x:f>
      </x:c>
      <x:c r="N183" s="16" t="str">
        <x:f>IF(M183="","",M183-TODAY())</x:f>
      </x:c>
      <x:c r="O183" s="16" t="str">
        <x:f>IF(A183="","",IF(OR(H183="Encerrado",H183="Descartado"),"Encerrado",IF(OR(H183="Sintomático",H183="Suspeito",H183="Confirmado",H183="Óbito"),"Requer avaliação/ação",IF(N183&lt;0,"Prazo concluído","Em monitoramento"))))</x:f>
      </x:c>
      <x:c r="P183" s="16" t="str">
        <x:f>IF(A183="","",IF(OR(E183="Manipulação do corpo",E183="Velório/funeral",E183="Sepultamento",E183="Limpeza/desinfecção"),"Pós-óbito",IF(OR(E183="Transporte do paciente",E183="Cuidado direto",E183="Contato com fluidos",E183="Serviço de saúde",E183="Laboratório"),"Exposição direta/assistencial","Exposição comunitária/outro")))</x:f>
      </x:c>
      <x:c r="Q183" s="16" t="str">
        <x:f>IF(A183="","",IF(P183="Pós-óbito","Sim","Não"))</x:f>
      </x:c>
    </x:row>
    <x:row r="184">
      <x:c r="A184" s="16" t="str"/>
      <x:c r="B184" s="16" t="str"/>
      <x:c r="C184" s="16" t="str"/>
      <x:c r="D184" s="28" t="str"/>
      <x:c r="E184" s="16" t="str"/>
      <x:c r="F184" s="16" t="str"/>
      <x:c r="G184" s="16" t="str"/>
      <x:c r="H184" s="16" t="str"/>
      <x:c r="I184" s="28" t="str"/>
      <x:c r="J184" s="28" t="str"/>
      <x:c r="K184" s="28" t="str"/>
      <x:c r="L184" s="16" t="str"/>
      <x:c r="M184" s="28" t="str">
        <x:f>IF(D184="","",D184+21)</x:f>
      </x:c>
      <x:c r="N184" s="16" t="str">
        <x:f>IF(M184="","",M184-TODAY())</x:f>
      </x:c>
      <x:c r="O184" s="16" t="str">
        <x:f>IF(A184="","",IF(OR(H184="Encerrado",H184="Descartado"),"Encerrado",IF(OR(H184="Sintomático",H184="Suspeito",H184="Confirmado",H184="Óbito"),"Requer avaliação/ação",IF(N184&lt;0,"Prazo concluído","Em monitoramento"))))</x:f>
      </x:c>
      <x:c r="P184" s="16" t="str">
        <x:f>IF(A184="","",IF(OR(E184="Manipulação do corpo",E184="Velório/funeral",E184="Sepultamento",E184="Limpeza/desinfecção"),"Pós-óbito",IF(OR(E184="Transporte do paciente",E184="Cuidado direto",E184="Contato com fluidos",E184="Serviço de saúde",E184="Laboratório"),"Exposição direta/assistencial","Exposição comunitária/outro")))</x:f>
      </x:c>
      <x:c r="Q184" s="16" t="str">
        <x:f>IF(A184="","",IF(P184="Pós-óbito","Sim","Não"))</x:f>
      </x:c>
    </x:row>
    <x:row r="185">
      <x:c r="A185" s="16" t="str"/>
      <x:c r="B185" s="16" t="str"/>
      <x:c r="C185" s="16" t="str"/>
      <x:c r="D185" s="28" t="str"/>
      <x:c r="E185" s="16" t="str"/>
      <x:c r="F185" s="16" t="str"/>
      <x:c r="G185" s="16" t="str"/>
      <x:c r="H185" s="16" t="str"/>
      <x:c r="I185" s="28" t="str"/>
      <x:c r="J185" s="28" t="str"/>
      <x:c r="K185" s="28" t="str"/>
      <x:c r="L185" s="16" t="str"/>
      <x:c r="M185" s="28" t="str">
        <x:f>IF(D185="","",D185+21)</x:f>
      </x:c>
      <x:c r="N185" s="16" t="str">
        <x:f>IF(M185="","",M185-TODAY())</x:f>
      </x:c>
      <x:c r="O185" s="16" t="str">
        <x:f>IF(A185="","",IF(OR(H185="Encerrado",H185="Descartado"),"Encerrado",IF(OR(H185="Sintomático",H185="Suspeito",H185="Confirmado",H185="Óbito"),"Requer avaliação/ação",IF(N185&lt;0,"Prazo concluído","Em monitoramento"))))</x:f>
      </x:c>
      <x:c r="P185" s="16" t="str">
        <x:f>IF(A185="","",IF(OR(E185="Manipulação do corpo",E185="Velório/funeral",E185="Sepultamento",E185="Limpeza/desinfecção"),"Pós-óbito",IF(OR(E185="Transporte do paciente",E185="Cuidado direto",E185="Contato com fluidos",E185="Serviço de saúde",E185="Laboratório"),"Exposição direta/assistencial","Exposição comunitária/outro")))</x:f>
      </x:c>
      <x:c r="Q185" s="16" t="str">
        <x:f>IF(A185="","",IF(P185="Pós-óbito","Sim","Não"))</x:f>
      </x:c>
    </x:row>
    <x:row r="186">
      <x:c r="A186" s="16" t="str"/>
      <x:c r="B186" s="16" t="str"/>
      <x:c r="C186" s="16" t="str"/>
      <x:c r="D186" s="28" t="str"/>
      <x:c r="E186" s="16" t="str"/>
      <x:c r="F186" s="16" t="str"/>
      <x:c r="G186" s="16" t="str"/>
      <x:c r="H186" s="16" t="str"/>
      <x:c r="I186" s="28" t="str"/>
      <x:c r="J186" s="28" t="str"/>
      <x:c r="K186" s="28" t="str"/>
      <x:c r="L186" s="16" t="str"/>
      <x:c r="M186" s="28" t="str">
        <x:f>IF(D186="","",D186+21)</x:f>
      </x:c>
      <x:c r="N186" s="16" t="str">
        <x:f>IF(M186="","",M186-TODAY())</x:f>
      </x:c>
      <x:c r="O186" s="16" t="str">
        <x:f>IF(A186="","",IF(OR(H186="Encerrado",H186="Descartado"),"Encerrado",IF(OR(H186="Sintomático",H186="Suspeito",H186="Confirmado",H186="Óbito"),"Requer avaliação/ação",IF(N186&lt;0,"Prazo concluído","Em monitoramento"))))</x:f>
      </x:c>
      <x:c r="P186" s="16" t="str">
        <x:f>IF(A186="","",IF(OR(E186="Manipulação do corpo",E186="Velório/funeral",E186="Sepultamento",E186="Limpeza/desinfecção"),"Pós-óbito",IF(OR(E186="Transporte do paciente",E186="Cuidado direto",E186="Contato com fluidos",E186="Serviço de saúde",E186="Laboratório"),"Exposição direta/assistencial","Exposição comunitária/outro")))</x:f>
      </x:c>
      <x:c r="Q186" s="16" t="str">
        <x:f>IF(A186="","",IF(P186="Pós-óbito","Sim","Não"))</x:f>
      </x:c>
    </x:row>
    <x:row r="187">
      <x:c r="A187" s="16" t="str"/>
      <x:c r="B187" s="16" t="str"/>
      <x:c r="C187" s="16" t="str"/>
      <x:c r="D187" s="28" t="str"/>
      <x:c r="E187" s="16" t="str"/>
      <x:c r="F187" s="16" t="str"/>
      <x:c r="G187" s="16" t="str"/>
      <x:c r="H187" s="16" t="str"/>
      <x:c r="I187" s="28" t="str"/>
      <x:c r="J187" s="28" t="str"/>
      <x:c r="K187" s="28" t="str"/>
      <x:c r="L187" s="16" t="str"/>
      <x:c r="M187" s="28" t="str">
        <x:f>IF(D187="","",D187+21)</x:f>
      </x:c>
      <x:c r="N187" s="16" t="str">
        <x:f>IF(M187="","",M187-TODAY())</x:f>
      </x:c>
      <x:c r="O187" s="16" t="str">
        <x:f>IF(A187="","",IF(OR(H187="Encerrado",H187="Descartado"),"Encerrado",IF(OR(H187="Sintomático",H187="Suspeito",H187="Confirmado",H187="Óbito"),"Requer avaliação/ação",IF(N187&lt;0,"Prazo concluído","Em monitoramento"))))</x:f>
      </x:c>
      <x:c r="P187" s="16" t="str">
        <x:f>IF(A187="","",IF(OR(E187="Manipulação do corpo",E187="Velório/funeral",E187="Sepultamento",E187="Limpeza/desinfecção"),"Pós-óbito",IF(OR(E187="Transporte do paciente",E187="Cuidado direto",E187="Contato com fluidos",E187="Serviço de saúde",E187="Laboratório"),"Exposição direta/assistencial","Exposição comunitária/outro")))</x:f>
      </x:c>
      <x:c r="Q187" s="16" t="str">
        <x:f>IF(A187="","",IF(P187="Pós-óbito","Sim","Não"))</x:f>
      </x:c>
    </x:row>
    <x:row r="188">
      <x:c r="A188" s="16" t="str"/>
      <x:c r="B188" s="16" t="str"/>
      <x:c r="C188" s="16" t="str"/>
      <x:c r="D188" s="28" t="str"/>
      <x:c r="E188" s="16" t="str"/>
      <x:c r="F188" s="16" t="str"/>
      <x:c r="G188" s="16" t="str"/>
      <x:c r="H188" s="16" t="str"/>
      <x:c r="I188" s="28" t="str"/>
      <x:c r="J188" s="28" t="str"/>
      <x:c r="K188" s="28" t="str"/>
      <x:c r="L188" s="16" t="str"/>
      <x:c r="M188" s="28" t="str">
        <x:f>IF(D188="","",D188+21)</x:f>
      </x:c>
      <x:c r="N188" s="16" t="str">
        <x:f>IF(M188="","",M188-TODAY())</x:f>
      </x:c>
      <x:c r="O188" s="16" t="str">
        <x:f>IF(A188="","",IF(OR(H188="Encerrado",H188="Descartado"),"Encerrado",IF(OR(H188="Sintomático",H188="Suspeito",H188="Confirmado",H188="Óbito"),"Requer avaliação/ação",IF(N188&lt;0,"Prazo concluído","Em monitoramento"))))</x:f>
      </x:c>
      <x:c r="P188" s="16" t="str">
        <x:f>IF(A188="","",IF(OR(E188="Manipulação do corpo",E188="Velório/funeral",E188="Sepultamento",E188="Limpeza/desinfecção"),"Pós-óbito",IF(OR(E188="Transporte do paciente",E188="Cuidado direto",E188="Contato com fluidos",E188="Serviço de saúde",E188="Laboratório"),"Exposição direta/assistencial","Exposição comunitária/outro")))</x:f>
      </x:c>
      <x:c r="Q188" s="16" t="str">
        <x:f>IF(A188="","",IF(P188="Pós-óbito","Sim","Não"))</x:f>
      </x:c>
    </x:row>
    <x:row r="189">
      <x:c r="A189" s="16" t="str"/>
      <x:c r="B189" s="16" t="str"/>
      <x:c r="C189" s="16" t="str"/>
      <x:c r="D189" s="28" t="str"/>
      <x:c r="E189" s="16" t="str"/>
      <x:c r="F189" s="16" t="str"/>
      <x:c r="G189" s="16" t="str"/>
      <x:c r="H189" s="16" t="str"/>
      <x:c r="I189" s="28" t="str"/>
      <x:c r="J189" s="28" t="str"/>
      <x:c r="K189" s="28" t="str"/>
      <x:c r="L189" s="16" t="str"/>
      <x:c r="M189" s="28" t="str">
        <x:f>IF(D189="","",D189+21)</x:f>
      </x:c>
      <x:c r="N189" s="16" t="str">
        <x:f>IF(M189="","",M189-TODAY())</x:f>
      </x:c>
      <x:c r="O189" s="16" t="str">
        <x:f>IF(A189="","",IF(OR(H189="Encerrado",H189="Descartado"),"Encerrado",IF(OR(H189="Sintomático",H189="Suspeito",H189="Confirmado",H189="Óbito"),"Requer avaliação/ação",IF(N189&lt;0,"Prazo concluído","Em monitoramento"))))</x:f>
      </x:c>
      <x:c r="P189" s="16" t="str">
        <x:f>IF(A189="","",IF(OR(E189="Manipulação do corpo",E189="Velório/funeral",E189="Sepultamento",E189="Limpeza/desinfecção"),"Pós-óbito",IF(OR(E189="Transporte do paciente",E189="Cuidado direto",E189="Contato com fluidos",E189="Serviço de saúde",E189="Laboratório"),"Exposição direta/assistencial","Exposição comunitária/outro")))</x:f>
      </x:c>
      <x:c r="Q189" s="16" t="str">
        <x:f>IF(A189="","",IF(P189="Pós-óbito","Sim","Não"))</x:f>
      </x:c>
    </x:row>
    <x:row r="190">
      <x:c r="A190" s="16" t="str"/>
      <x:c r="B190" s="16" t="str"/>
      <x:c r="C190" s="16" t="str"/>
      <x:c r="D190" s="28" t="str"/>
      <x:c r="E190" s="16" t="str"/>
      <x:c r="F190" s="16" t="str"/>
      <x:c r="G190" s="16" t="str"/>
      <x:c r="H190" s="16" t="str"/>
      <x:c r="I190" s="28" t="str"/>
      <x:c r="J190" s="28" t="str"/>
      <x:c r="K190" s="28" t="str"/>
      <x:c r="L190" s="16" t="str"/>
      <x:c r="M190" s="28" t="str">
        <x:f>IF(D190="","",D190+21)</x:f>
      </x:c>
      <x:c r="N190" s="16" t="str">
        <x:f>IF(M190="","",M190-TODAY())</x:f>
      </x:c>
      <x:c r="O190" s="16" t="str">
        <x:f>IF(A190="","",IF(OR(H190="Encerrado",H190="Descartado"),"Encerrado",IF(OR(H190="Sintomático",H190="Suspeito",H190="Confirmado",H190="Óbito"),"Requer avaliação/ação",IF(N190&lt;0,"Prazo concluído","Em monitoramento"))))</x:f>
      </x:c>
      <x:c r="P190" s="16" t="str">
        <x:f>IF(A190="","",IF(OR(E190="Manipulação do corpo",E190="Velório/funeral",E190="Sepultamento",E190="Limpeza/desinfecção"),"Pós-óbito",IF(OR(E190="Transporte do paciente",E190="Cuidado direto",E190="Contato com fluidos",E190="Serviço de saúde",E190="Laboratório"),"Exposição direta/assistencial","Exposição comunitária/outro")))</x:f>
      </x:c>
      <x:c r="Q190" s="16" t="str">
        <x:f>IF(A190="","",IF(P190="Pós-óbito","Sim","Não"))</x:f>
      </x:c>
    </x:row>
    <x:row r="191">
      <x:c r="A191" s="16" t="str"/>
      <x:c r="B191" s="16" t="str"/>
      <x:c r="C191" s="16" t="str"/>
      <x:c r="D191" s="28" t="str"/>
      <x:c r="E191" s="16" t="str"/>
      <x:c r="F191" s="16" t="str"/>
      <x:c r="G191" s="16" t="str"/>
      <x:c r="H191" s="16" t="str"/>
      <x:c r="I191" s="28" t="str"/>
      <x:c r="J191" s="28" t="str"/>
      <x:c r="K191" s="28" t="str"/>
      <x:c r="L191" s="16" t="str"/>
      <x:c r="M191" s="28" t="str">
        <x:f>IF(D191="","",D191+21)</x:f>
      </x:c>
      <x:c r="N191" s="16" t="str">
        <x:f>IF(M191="","",M191-TODAY())</x:f>
      </x:c>
      <x:c r="O191" s="16" t="str">
        <x:f>IF(A191="","",IF(OR(H191="Encerrado",H191="Descartado"),"Encerrado",IF(OR(H191="Sintomático",H191="Suspeito",H191="Confirmado",H191="Óbito"),"Requer avaliação/ação",IF(N191&lt;0,"Prazo concluído","Em monitoramento"))))</x:f>
      </x:c>
      <x:c r="P191" s="16" t="str">
        <x:f>IF(A191="","",IF(OR(E191="Manipulação do corpo",E191="Velório/funeral",E191="Sepultamento",E191="Limpeza/desinfecção"),"Pós-óbito",IF(OR(E191="Transporte do paciente",E191="Cuidado direto",E191="Contato com fluidos",E191="Serviço de saúde",E191="Laboratório"),"Exposição direta/assistencial","Exposição comunitária/outro")))</x:f>
      </x:c>
      <x:c r="Q191" s="16" t="str">
        <x:f>IF(A191="","",IF(P191="Pós-óbito","Sim","Não"))</x:f>
      </x:c>
    </x:row>
    <x:row r="192">
      <x:c r="A192" s="16" t="str"/>
      <x:c r="B192" s="16" t="str"/>
      <x:c r="C192" s="16" t="str"/>
      <x:c r="D192" s="28" t="str"/>
      <x:c r="E192" s="16" t="str"/>
      <x:c r="F192" s="16" t="str"/>
      <x:c r="G192" s="16" t="str"/>
      <x:c r="H192" s="16" t="str"/>
      <x:c r="I192" s="28" t="str"/>
      <x:c r="J192" s="28" t="str"/>
      <x:c r="K192" s="28" t="str"/>
      <x:c r="L192" s="16" t="str"/>
      <x:c r="M192" s="28" t="str">
        <x:f>IF(D192="","",D192+21)</x:f>
      </x:c>
      <x:c r="N192" s="16" t="str">
        <x:f>IF(M192="","",M192-TODAY())</x:f>
      </x:c>
      <x:c r="O192" s="16" t="str">
        <x:f>IF(A192="","",IF(OR(H192="Encerrado",H192="Descartado"),"Encerrado",IF(OR(H192="Sintomático",H192="Suspeito",H192="Confirmado",H192="Óbito"),"Requer avaliação/ação",IF(N192&lt;0,"Prazo concluído","Em monitoramento"))))</x:f>
      </x:c>
      <x:c r="P192" s="16" t="str">
        <x:f>IF(A192="","",IF(OR(E192="Manipulação do corpo",E192="Velório/funeral",E192="Sepultamento",E192="Limpeza/desinfecção"),"Pós-óbito",IF(OR(E192="Transporte do paciente",E192="Cuidado direto",E192="Contato com fluidos",E192="Serviço de saúde",E192="Laboratório"),"Exposição direta/assistencial","Exposição comunitária/outro")))</x:f>
      </x:c>
      <x:c r="Q192" s="16" t="str">
        <x:f>IF(A192="","",IF(P192="Pós-óbito","Sim","Não"))</x:f>
      </x:c>
    </x:row>
    <x:row r="193">
      <x:c r="A193" s="16" t="str"/>
      <x:c r="B193" s="16" t="str"/>
      <x:c r="C193" s="16" t="str"/>
      <x:c r="D193" s="28" t="str"/>
      <x:c r="E193" s="16" t="str"/>
      <x:c r="F193" s="16" t="str"/>
      <x:c r="G193" s="16" t="str"/>
      <x:c r="H193" s="16" t="str"/>
      <x:c r="I193" s="28" t="str"/>
      <x:c r="J193" s="28" t="str"/>
      <x:c r="K193" s="28" t="str"/>
      <x:c r="L193" s="16" t="str"/>
      <x:c r="M193" s="28" t="str">
        <x:f>IF(D193="","",D193+21)</x:f>
      </x:c>
      <x:c r="N193" s="16" t="str">
        <x:f>IF(M193="","",M193-TODAY())</x:f>
      </x:c>
      <x:c r="O193" s="16" t="str">
        <x:f>IF(A193="","",IF(OR(H193="Encerrado",H193="Descartado"),"Encerrado",IF(OR(H193="Sintomático",H193="Suspeito",H193="Confirmado",H193="Óbito"),"Requer avaliação/ação",IF(N193&lt;0,"Prazo concluído","Em monitoramento"))))</x:f>
      </x:c>
      <x:c r="P193" s="16" t="str">
        <x:f>IF(A193="","",IF(OR(E193="Manipulação do corpo",E193="Velório/funeral",E193="Sepultamento",E193="Limpeza/desinfecção"),"Pós-óbito",IF(OR(E193="Transporte do paciente",E193="Cuidado direto",E193="Contato com fluidos",E193="Serviço de saúde",E193="Laboratório"),"Exposição direta/assistencial","Exposição comunitária/outro")))</x:f>
      </x:c>
      <x:c r="Q193" s="16" t="str">
        <x:f>IF(A193="","",IF(P193="Pós-óbito","Sim","Não"))</x:f>
      </x:c>
    </x:row>
    <x:row r="194">
      <x:c r="A194" s="16" t="str"/>
      <x:c r="B194" s="16" t="str"/>
      <x:c r="C194" s="16" t="str"/>
      <x:c r="D194" s="28" t="str"/>
      <x:c r="E194" s="16" t="str"/>
      <x:c r="F194" s="16" t="str"/>
      <x:c r="G194" s="16" t="str"/>
      <x:c r="H194" s="16" t="str"/>
      <x:c r="I194" s="28" t="str"/>
      <x:c r="J194" s="28" t="str"/>
      <x:c r="K194" s="28" t="str"/>
      <x:c r="L194" s="16" t="str"/>
      <x:c r="M194" s="28" t="str">
        <x:f>IF(D194="","",D194+21)</x:f>
      </x:c>
      <x:c r="N194" s="16" t="str">
        <x:f>IF(M194="","",M194-TODAY())</x:f>
      </x:c>
      <x:c r="O194" s="16" t="str">
        <x:f>IF(A194="","",IF(OR(H194="Encerrado",H194="Descartado"),"Encerrado",IF(OR(H194="Sintomático",H194="Suspeito",H194="Confirmado",H194="Óbito"),"Requer avaliação/ação",IF(N194&lt;0,"Prazo concluído","Em monitoramento"))))</x:f>
      </x:c>
      <x:c r="P194" s="16" t="str">
        <x:f>IF(A194="","",IF(OR(E194="Manipulação do corpo",E194="Velório/funeral",E194="Sepultamento",E194="Limpeza/desinfecção"),"Pós-óbito",IF(OR(E194="Transporte do paciente",E194="Cuidado direto",E194="Contato com fluidos",E194="Serviço de saúde",E194="Laboratório"),"Exposição direta/assistencial","Exposição comunitária/outro")))</x:f>
      </x:c>
      <x:c r="Q194" s="16" t="str">
        <x:f>IF(A194="","",IF(P194="Pós-óbito","Sim","Não"))</x:f>
      </x:c>
    </x:row>
    <x:row r="195">
      <x:c r="A195" s="16" t="str"/>
      <x:c r="B195" s="16" t="str"/>
      <x:c r="C195" s="16" t="str"/>
      <x:c r="D195" s="28" t="str"/>
      <x:c r="E195" s="16" t="str"/>
      <x:c r="F195" s="16" t="str"/>
      <x:c r="G195" s="16" t="str"/>
      <x:c r="H195" s="16" t="str"/>
      <x:c r="I195" s="28" t="str"/>
      <x:c r="J195" s="28" t="str"/>
      <x:c r="K195" s="28" t="str"/>
      <x:c r="L195" s="16" t="str"/>
      <x:c r="M195" s="28" t="str">
        <x:f>IF(D195="","",D195+21)</x:f>
      </x:c>
      <x:c r="N195" s="16" t="str">
        <x:f>IF(M195="","",M195-TODAY())</x:f>
      </x:c>
      <x:c r="O195" s="16" t="str">
        <x:f>IF(A195="","",IF(OR(H195="Encerrado",H195="Descartado"),"Encerrado",IF(OR(H195="Sintomático",H195="Suspeito",H195="Confirmado",H195="Óbito"),"Requer avaliação/ação",IF(N195&lt;0,"Prazo concluído","Em monitoramento"))))</x:f>
      </x:c>
      <x:c r="P195" s="16" t="str">
        <x:f>IF(A195="","",IF(OR(E195="Manipulação do corpo",E195="Velório/funeral",E195="Sepultamento",E195="Limpeza/desinfecção"),"Pós-óbito",IF(OR(E195="Transporte do paciente",E195="Cuidado direto",E195="Contato com fluidos",E195="Serviço de saúde",E195="Laboratório"),"Exposição direta/assistencial","Exposição comunitária/outro")))</x:f>
      </x:c>
      <x:c r="Q195" s="16" t="str">
        <x:f>IF(A195="","",IF(P195="Pós-óbito","Sim","Não"))</x:f>
      </x:c>
    </x:row>
    <x:row r="196">
      <x:c r="A196" s="16" t="str"/>
      <x:c r="B196" s="16" t="str"/>
      <x:c r="C196" s="16" t="str"/>
      <x:c r="D196" s="28" t="str"/>
      <x:c r="E196" s="16" t="str"/>
      <x:c r="F196" s="16" t="str"/>
      <x:c r="G196" s="16" t="str"/>
      <x:c r="H196" s="16" t="str"/>
      <x:c r="I196" s="28" t="str"/>
      <x:c r="J196" s="28" t="str"/>
      <x:c r="K196" s="28" t="str"/>
      <x:c r="L196" s="16" t="str"/>
      <x:c r="M196" s="28" t="str">
        <x:f>IF(D196="","",D196+21)</x:f>
      </x:c>
      <x:c r="N196" s="16" t="str">
        <x:f>IF(M196="","",M196-TODAY())</x:f>
      </x:c>
      <x:c r="O196" s="16" t="str">
        <x:f>IF(A196="","",IF(OR(H196="Encerrado",H196="Descartado"),"Encerrado",IF(OR(H196="Sintomático",H196="Suspeito",H196="Confirmado",H196="Óbito"),"Requer avaliação/ação",IF(N196&lt;0,"Prazo concluído","Em monitoramento"))))</x:f>
      </x:c>
      <x:c r="P196" s="16" t="str">
        <x:f>IF(A196="","",IF(OR(E196="Manipulação do corpo",E196="Velório/funeral",E196="Sepultamento",E196="Limpeza/desinfecção"),"Pós-óbito",IF(OR(E196="Transporte do paciente",E196="Cuidado direto",E196="Contato com fluidos",E196="Serviço de saúde",E196="Laboratório"),"Exposição direta/assistencial","Exposição comunitária/outro")))</x:f>
      </x:c>
      <x:c r="Q196" s="16" t="str">
        <x:f>IF(A196="","",IF(P196="Pós-óbito","Sim","Não"))</x:f>
      </x:c>
    </x:row>
    <x:row r="197">
      <x:c r="A197" s="16" t="str"/>
      <x:c r="B197" s="16" t="str"/>
      <x:c r="C197" s="16" t="str"/>
      <x:c r="D197" s="28" t="str"/>
      <x:c r="E197" s="16" t="str"/>
      <x:c r="F197" s="16" t="str"/>
      <x:c r="G197" s="16" t="str"/>
      <x:c r="H197" s="16" t="str"/>
      <x:c r="I197" s="28" t="str"/>
      <x:c r="J197" s="28" t="str"/>
      <x:c r="K197" s="28" t="str"/>
      <x:c r="L197" s="16" t="str"/>
      <x:c r="M197" s="28" t="str">
        <x:f>IF(D197="","",D197+21)</x:f>
      </x:c>
      <x:c r="N197" s="16" t="str">
        <x:f>IF(M197="","",M197-TODAY())</x:f>
      </x:c>
      <x:c r="O197" s="16" t="str">
        <x:f>IF(A197="","",IF(OR(H197="Encerrado",H197="Descartado"),"Encerrado",IF(OR(H197="Sintomático",H197="Suspeito",H197="Confirmado",H197="Óbito"),"Requer avaliação/ação",IF(N197&lt;0,"Prazo concluído","Em monitoramento"))))</x:f>
      </x:c>
      <x:c r="P197" s="16" t="str">
        <x:f>IF(A197="","",IF(OR(E197="Manipulação do corpo",E197="Velório/funeral",E197="Sepultamento",E197="Limpeza/desinfecção"),"Pós-óbito",IF(OR(E197="Transporte do paciente",E197="Cuidado direto",E197="Contato com fluidos",E197="Serviço de saúde",E197="Laboratório"),"Exposição direta/assistencial","Exposição comunitária/outro")))</x:f>
      </x:c>
      <x:c r="Q197" s="16" t="str">
        <x:f>IF(A197="","",IF(P197="Pós-óbito","Sim","Não"))</x:f>
      </x:c>
    </x:row>
    <x:row r="198">
      <x:c r="A198" s="16" t="str"/>
      <x:c r="B198" s="16" t="str"/>
      <x:c r="C198" s="16" t="str"/>
      <x:c r="D198" s="28" t="str"/>
      <x:c r="E198" s="16" t="str"/>
      <x:c r="F198" s="16" t="str"/>
      <x:c r="G198" s="16" t="str"/>
      <x:c r="H198" s="16" t="str"/>
      <x:c r="I198" s="28" t="str"/>
      <x:c r="J198" s="28" t="str"/>
      <x:c r="K198" s="28" t="str"/>
      <x:c r="L198" s="16" t="str"/>
      <x:c r="M198" s="28" t="str">
        <x:f>IF(D198="","",D198+21)</x:f>
      </x:c>
      <x:c r="N198" s="16" t="str">
        <x:f>IF(M198="","",M198-TODAY())</x:f>
      </x:c>
      <x:c r="O198" s="16" t="str">
        <x:f>IF(A198="","",IF(OR(H198="Encerrado",H198="Descartado"),"Encerrado",IF(OR(H198="Sintomático",H198="Suspeito",H198="Confirmado",H198="Óbito"),"Requer avaliação/ação",IF(N198&lt;0,"Prazo concluído","Em monitoramento"))))</x:f>
      </x:c>
      <x:c r="P198" s="16" t="str">
        <x:f>IF(A198="","",IF(OR(E198="Manipulação do corpo",E198="Velório/funeral",E198="Sepultamento",E198="Limpeza/desinfecção"),"Pós-óbito",IF(OR(E198="Transporte do paciente",E198="Cuidado direto",E198="Contato com fluidos",E198="Serviço de saúde",E198="Laboratório"),"Exposição direta/assistencial","Exposição comunitária/outro")))</x:f>
      </x:c>
      <x:c r="Q198" s="16" t="str">
        <x:f>IF(A198="","",IF(P198="Pós-óbito","Sim","Não"))</x:f>
      </x:c>
    </x:row>
    <x:row r="199">
      <x:c r="A199" s="16" t="str"/>
      <x:c r="B199" s="16" t="str"/>
      <x:c r="C199" s="16" t="str"/>
      <x:c r="D199" s="28" t="str"/>
      <x:c r="E199" s="16" t="str"/>
      <x:c r="F199" s="16" t="str"/>
      <x:c r="G199" s="16" t="str"/>
      <x:c r="H199" s="16" t="str"/>
      <x:c r="I199" s="28" t="str"/>
      <x:c r="J199" s="28" t="str"/>
      <x:c r="K199" s="28" t="str"/>
      <x:c r="L199" s="16" t="str"/>
      <x:c r="M199" s="28" t="str">
        <x:f>IF(D199="","",D199+21)</x:f>
      </x:c>
      <x:c r="N199" s="16" t="str">
        <x:f>IF(M199="","",M199-TODAY())</x:f>
      </x:c>
      <x:c r="O199" s="16" t="str">
        <x:f>IF(A199="","",IF(OR(H199="Encerrado",H199="Descartado"),"Encerrado",IF(OR(H199="Sintomático",H199="Suspeito",H199="Confirmado",H199="Óbito"),"Requer avaliação/ação",IF(N199&lt;0,"Prazo concluído","Em monitoramento"))))</x:f>
      </x:c>
      <x:c r="P199" s="16" t="str">
        <x:f>IF(A199="","",IF(OR(E199="Manipulação do corpo",E199="Velório/funeral",E199="Sepultamento",E199="Limpeza/desinfecção"),"Pós-óbito",IF(OR(E199="Transporte do paciente",E199="Cuidado direto",E199="Contato com fluidos",E199="Serviço de saúde",E199="Laboratório"),"Exposição direta/assistencial","Exposição comunitária/outro")))</x:f>
      </x:c>
      <x:c r="Q199" s="16" t="str">
        <x:f>IF(A199="","",IF(P199="Pós-óbito","Sim","Não"))</x:f>
      </x:c>
    </x:row>
    <x:row r="200">
      <x:c r="A200" s="16" t="str"/>
      <x:c r="B200" s="16" t="str"/>
      <x:c r="C200" s="16" t="str"/>
      <x:c r="D200" s="28" t="str"/>
      <x:c r="E200" s="16" t="str"/>
      <x:c r="F200" s="16" t="str"/>
      <x:c r="G200" s="16" t="str"/>
      <x:c r="H200" s="16" t="str"/>
      <x:c r="I200" s="28" t="str"/>
      <x:c r="J200" s="28" t="str"/>
      <x:c r="K200" s="28" t="str"/>
      <x:c r="L200" s="16" t="str"/>
      <x:c r="M200" s="28" t="str">
        <x:f>IF(D200="","",D200+21)</x:f>
      </x:c>
      <x:c r="N200" s="16" t="str">
        <x:f>IF(M200="","",M200-TODAY())</x:f>
      </x:c>
      <x:c r="O200" s="16" t="str">
        <x:f>IF(A200="","",IF(OR(H200="Encerrado",H200="Descartado"),"Encerrado",IF(OR(H200="Sintomático",H200="Suspeito",H200="Confirmado",H200="Óbito"),"Requer avaliação/ação",IF(N200&lt;0,"Prazo concluído","Em monitoramento"))))</x:f>
      </x:c>
      <x:c r="P200" s="16" t="str">
        <x:f>IF(A200="","",IF(OR(E200="Manipulação do corpo",E200="Velório/funeral",E200="Sepultamento",E200="Limpeza/desinfecção"),"Pós-óbito",IF(OR(E200="Transporte do paciente",E200="Cuidado direto",E200="Contato com fluidos",E200="Serviço de saúde",E200="Laboratório"),"Exposição direta/assistencial","Exposição comunitária/outro")))</x:f>
      </x:c>
      <x:c r="Q200" s="16" t="str">
        <x:f>IF(A200="","",IF(P200="Pós-óbito","Sim","Não"))</x:f>
      </x:c>
    </x:row>
    <x:row r="201">
      <x:c r="A201" s="16" t="str"/>
      <x:c r="B201" s="16" t="str"/>
      <x:c r="C201" s="16" t="str"/>
      <x:c r="D201" s="28" t="str"/>
      <x:c r="E201" s="16" t="str"/>
      <x:c r="F201" s="16" t="str"/>
      <x:c r="G201" s="16" t="str"/>
      <x:c r="H201" s="16" t="str"/>
      <x:c r="I201" s="28" t="str"/>
      <x:c r="J201" s="28" t="str"/>
      <x:c r="K201" s="28" t="str"/>
      <x:c r="L201" s="16" t="str"/>
      <x:c r="M201" s="28" t="str">
        <x:f>IF(D201="","",D201+21)</x:f>
      </x:c>
      <x:c r="N201" s="16" t="str">
        <x:f>IF(M201="","",M201-TODAY())</x:f>
      </x:c>
      <x:c r="O201" s="16" t="str">
        <x:f>IF(A201="","",IF(OR(H201="Encerrado",H201="Descartado"),"Encerrado",IF(OR(H201="Sintomático",H201="Suspeito",H201="Confirmado",H201="Óbito"),"Requer avaliação/ação",IF(N201&lt;0,"Prazo concluído","Em monitoramento"))))</x:f>
      </x:c>
      <x:c r="P201" s="16" t="str">
        <x:f>IF(A201="","",IF(OR(E201="Manipulação do corpo",E201="Velório/funeral",E201="Sepultamento",E201="Limpeza/desinfecção"),"Pós-óbito",IF(OR(E201="Transporte do paciente",E201="Cuidado direto",E201="Contato com fluidos",E201="Serviço de saúde",E201="Laboratório"),"Exposição direta/assistencial","Exposição comunitária/outro")))</x:f>
      </x:c>
      <x:c r="Q201" s="16" t="str">
        <x:f>IF(A201="","",IF(P201="Pós-óbito","Sim","Não"))</x:f>
      </x:c>
    </x:row>
    <x:row r="202">
      <x:c r="A202" s="16" t="str"/>
      <x:c r="B202" s="16" t="str"/>
      <x:c r="C202" s="16" t="str"/>
      <x:c r="D202" s="28" t="str"/>
      <x:c r="E202" s="16" t="str"/>
      <x:c r="F202" s="16" t="str"/>
      <x:c r="G202" s="16" t="str"/>
      <x:c r="H202" s="16" t="str"/>
      <x:c r="I202" s="28" t="str"/>
      <x:c r="J202" s="28" t="str"/>
      <x:c r="K202" s="28" t="str"/>
      <x:c r="L202" s="16" t="str"/>
      <x:c r="M202" s="28" t="str">
        <x:f>IF(D202="","",D202+21)</x:f>
      </x:c>
      <x:c r="N202" s="16" t="str">
        <x:f>IF(M202="","",M202-TODAY())</x:f>
      </x:c>
      <x:c r="O202" s="16" t="str">
        <x:f>IF(A202="","",IF(OR(H202="Encerrado",H202="Descartado"),"Encerrado",IF(OR(H202="Sintomático",H202="Suspeito",H202="Confirmado",H202="Óbito"),"Requer avaliação/ação",IF(N202&lt;0,"Prazo concluído","Em monitoramento"))))</x:f>
      </x:c>
      <x:c r="P202" s="16" t="str">
        <x:f>IF(A202="","",IF(OR(E202="Manipulação do corpo",E202="Velório/funeral",E202="Sepultamento",E202="Limpeza/desinfecção"),"Pós-óbito",IF(OR(E202="Transporte do paciente",E202="Cuidado direto",E202="Contato com fluidos",E202="Serviço de saúde",E202="Laboratório"),"Exposição direta/assistencial","Exposição comunitária/outro")))</x:f>
      </x:c>
      <x:c r="Q202" s="16" t="str">
        <x:f>IF(A202="","",IF(P202="Pós-óbito","Sim","Não"))</x:f>
      </x:c>
    </x:row>
    <x:row r="203">
      <x:c r="A203" s="16" t="str"/>
      <x:c r="B203" s="16" t="str"/>
      <x:c r="C203" s="16" t="str"/>
      <x:c r="D203" s="28" t="str"/>
      <x:c r="E203" s="16" t="str"/>
      <x:c r="F203" s="16" t="str"/>
      <x:c r="G203" s="16" t="str"/>
      <x:c r="H203" s="16" t="str"/>
      <x:c r="I203" s="28" t="str"/>
      <x:c r="J203" s="28" t="str"/>
      <x:c r="K203" s="28" t="str"/>
      <x:c r="L203" s="16" t="str"/>
      <x:c r="M203" s="28" t="str">
        <x:f>IF(D203="","",D203+21)</x:f>
      </x:c>
      <x:c r="N203" s="16" t="str">
        <x:f>IF(M203="","",M203-TODAY())</x:f>
      </x:c>
      <x:c r="O203" s="16" t="str">
        <x:f>IF(A203="","",IF(OR(H203="Encerrado",H203="Descartado"),"Encerrado",IF(OR(H203="Sintomático",H203="Suspeito",H203="Confirmado",H203="Óbito"),"Requer avaliação/ação",IF(N203&lt;0,"Prazo concluído","Em monitoramento"))))</x:f>
      </x:c>
      <x:c r="P203" s="16" t="str">
        <x:f>IF(A203="","",IF(OR(E203="Manipulação do corpo",E203="Velório/funeral",E203="Sepultamento",E203="Limpeza/desinfecção"),"Pós-óbito",IF(OR(E203="Transporte do paciente",E203="Cuidado direto",E203="Contato com fluidos",E203="Serviço de saúde",E203="Laboratório"),"Exposição direta/assistencial","Exposição comunitária/outro")))</x:f>
      </x:c>
      <x:c r="Q203" s="16" t="str">
        <x:f>IF(A203="","",IF(P203="Pós-óbito","Sim","Não"))</x:f>
      </x:c>
    </x:row>
    <x:row r="204">
      <x:c r="A204" s="16" t="str"/>
      <x:c r="B204" s="16" t="str"/>
      <x:c r="C204" s="16" t="str"/>
      <x:c r="D204" s="28" t="str"/>
      <x:c r="E204" s="16" t="str"/>
      <x:c r="F204" s="16" t="str"/>
      <x:c r="G204" s="16" t="str"/>
      <x:c r="H204" s="16" t="str"/>
      <x:c r="I204" s="28" t="str"/>
      <x:c r="J204" s="28" t="str"/>
      <x:c r="K204" s="28" t="str"/>
      <x:c r="L204" s="16" t="str"/>
      <x:c r="M204" s="28" t="str">
        <x:f>IF(D204="","",D204+21)</x:f>
      </x:c>
      <x:c r="N204" s="16" t="str">
        <x:f>IF(M204="","",M204-TODAY())</x:f>
      </x:c>
      <x:c r="O204" s="16" t="str">
        <x:f>IF(A204="","",IF(OR(H204="Encerrado",H204="Descartado"),"Encerrado",IF(OR(H204="Sintomático",H204="Suspeito",H204="Confirmado",H204="Óbito"),"Requer avaliação/ação",IF(N204&lt;0,"Prazo concluído","Em monitoramento"))))</x:f>
      </x:c>
      <x:c r="P204" s="16" t="str">
        <x:f>IF(A204="","",IF(OR(E204="Manipulação do corpo",E204="Velório/funeral",E204="Sepultamento",E204="Limpeza/desinfecção"),"Pós-óbito",IF(OR(E204="Transporte do paciente",E204="Cuidado direto",E204="Contato com fluidos",E204="Serviço de saúde",E204="Laboratório"),"Exposição direta/assistencial","Exposição comunitária/outro")))</x:f>
      </x:c>
      <x:c r="Q204" s="16" t="str">
        <x:f>IF(A204="","",IF(P204="Pós-óbito","Sim","Não"))</x:f>
      </x:c>
    </x:row>
    <x:row r="205">
      <x:c r="A205" s="16" t="str"/>
      <x:c r="B205" s="16" t="str"/>
      <x:c r="C205" s="16" t="str"/>
      <x:c r="D205" s="28" t="str"/>
      <x:c r="E205" s="16" t="str"/>
      <x:c r="F205" s="16" t="str"/>
      <x:c r="G205" s="16" t="str"/>
      <x:c r="H205" s="16" t="str"/>
      <x:c r="I205" s="28" t="str"/>
      <x:c r="J205" s="28" t="str"/>
      <x:c r="K205" s="28" t="str"/>
      <x:c r="L205" s="16" t="str"/>
      <x:c r="M205" s="28" t="str">
        <x:f>IF(D205="","",D205+21)</x:f>
      </x:c>
      <x:c r="N205" s="16" t="str">
        <x:f>IF(M205="","",M205-TODAY())</x:f>
      </x:c>
      <x:c r="O205" s="16" t="str">
        <x:f>IF(A205="","",IF(OR(H205="Encerrado",H205="Descartado"),"Encerrado",IF(OR(H205="Sintomático",H205="Suspeito",H205="Confirmado",H205="Óbito"),"Requer avaliação/ação",IF(N205&lt;0,"Prazo concluído","Em monitoramento"))))</x:f>
      </x:c>
      <x:c r="P205" s="16" t="str">
        <x:f>IF(A205="","",IF(OR(E205="Manipulação do corpo",E205="Velório/funeral",E205="Sepultamento",E205="Limpeza/desinfecção"),"Pós-óbito",IF(OR(E205="Transporte do paciente",E205="Cuidado direto",E205="Contato com fluidos",E205="Serviço de saúde",E205="Laboratório"),"Exposição direta/assistencial","Exposição comunitária/outro")))</x:f>
      </x:c>
      <x:c r="Q205" s="16" t="str">
        <x:f>IF(A205="","",IF(P205="Pós-óbito","Sim","Não"))</x:f>
      </x:c>
    </x:row>
    <x:row r="206">
      <x:c r="A206" s="16" t="str"/>
      <x:c r="B206" s="16" t="str"/>
      <x:c r="C206" s="16" t="str"/>
      <x:c r="D206" s="28" t="str"/>
      <x:c r="E206" s="16" t="str"/>
      <x:c r="F206" s="16" t="str"/>
      <x:c r="G206" s="16" t="str"/>
      <x:c r="H206" s="16" t="str"/>
      <x:c r="I206" s="28" t="str"/>
      <x:c r="J206" s="28" t="str"/>
      <x:c r="K206" s="28" t="str"/>
      <x:c r="L206" s="16" t="str"/>
      <x:c r="M206" s="28" t="str">
        <x:f>IF(D206="","",D206+21)</x:f>
      </x:c>
      <x:c r="N206" s="16" t="str">
        <x:f>IF(M206="","",M206-TODAY())</x:f>
      </x:c>
      <x:c r="O206" s="16" t="str">
        <x:f>IF(A206="","",IF(OR(H206="Encerrado",H206="Descartado"),"Encerrado",IF(OR(H206="Sintomático",H206="Suspeito",H206="Confirmado",H206="Óbito"),"Requer avaliação/ação",IF(N206&lt;0,"Prazo concluído","Em monitoramento"))))</x:f>
      </x:c>
      <x:c r="P206" s="16" t="str">
        <x:f>IF(A206="","",IF(OR(E206="Manipulação do corpo",E206="Velório/funeral",E206="Sepultamento",E206="Limpeza/desinfecção"),"Pós-óbito",IF(OR(E206="Transporte do paciente",E206="Cuidado direto",E206="Contato com fluidos",E206="Serviço de saúde",E206="Laboratório"),"Exposição direta/assistencial","Exposição comunitária/outro")))</x:f>
      </x:c>
      <x:c r="Q206" s="16" t="str">
        <x:f>IF(A206="","",IF(P206="Pós-óbito","Sim","Não"))</x:f>
      </x:c>
    </x:row>
    <x:row r="207">
      <x:c r="A207" s="16" t="str"/>
      <x:c r="B207" s="16" t="str"/>
      <x:c r="C207" s="16" t="str"/>
      <x:c r="D207" s="28" t="str"/>
      <x:c r="E207" s="16" t="str"/>
      <x:c r="F207" s="16" t="str"/>
      <x:c r="G207" s="16" t="str"/>
      <x:c r="H207" s="16" t="str"/>
      <x:c r="I207" s="28" t="str"/>
      <x:c r="J207" s="28" t="str"/>
      <x:c r="K207" s="28" t="str"/>
      <x:c r="L207" s="16" t="str"/>
      <x:c r="M207" s="28" t="str">
        <x:f>IF(D207="","",D207+21)</x:f>
      </x:c>
      <x:c r="N207" s="16" t="str">
        <x:f>IF(M207="","",M207-TODAY())</x:f>
      </x:c>
      <x:c r="O207" s="16" t="str">
        <x:f>IF(A207="","",IF(OR(H207="Encerrado",H207="Descartado"),"Encerrado",IF(OR(H207="Sintomático",H207="Suspeito",H207="Confirmado",H207="Óbito"),"Requer avaliação/ação",IF(N207&lt;0,"Prazo concluído","Em monitoramento"))))</x:f>
      </x:c>
      <x:c r="P207" s="16" t="str">
        <x:f>IF(A207="","",IF(OR(E207="Manipulação do corpo",E207="Velório/funeral",E207="Sepultamento",E207="Limpeza/desinfecção"),"Pós-óbito",IF(OR(E207="Transporte do paciente",E207="Cuidado direto",E207="Contato com fluidos",E207="Serviço de saúde",E207="Laboratório"),"Exposição direta/assistencial","Exposição comunitária/outro")))</x:f>
      </x:c>
      <x:c r="Q207" s="16" t="str">
        <x:f>IF(A207="","",IF(P207="Pós-óbito","Sim","Não"))</x:f>
      </x:c>
    </x:row>
    <x:row r="208">
      <x:c r="A208" s="16" t="str"/>
      <x:c r="B208" s="16" t="str"/>
      <x:c r="C208" s="16" t="str"/>
      <x:c r="D208" s="28" t="str"/>
      <x:c r="E208" s="16" t="str"/>
      <x:c r="F208" s="16" t="str"/>
      <x:c r="G208" s="16" t="str"/>
      <x:c r="H208" s="16" t="str"/>
      <x:c r="I208" s="28" t="str"/>
      <x:c r="J208" s="28" t="str"/>
      <x:c r="K208" s="28" t="str"/>
      <x:c r="L208" s="16" t="str"/>
      <x:c r="M208" s="28" t="str">
        <x:f>IF(D208="","",D208+21)</x:f>
      </x:c>
      <x:c r="N208" s="16" t="str">
        <x:f>IF(M208="","",M208-TODAY())</x:f>
      </x:c>
      <x:c r="O208" s="16" t="str">
        <x:f>IF(A208="","",IF(OR(H208="Encerrado",H208="Descartado"),"Encerrado",IF(OR(H208="Sintomático",H208="Suspeito",H208="Confirmado",H208="Óbito"),"Requer avaliação/ação",IF(N208&lt;0,"Prazo concluído","Em monitoramento"))))</x:f>
      </x:c>
      <x:c r="P208" s="16" t="str">
        <x:f>IF(A208="","",IF(OR(E208="Manipulação do corpo",E208="Velório/funeral",E208="Sepultamento",E208="Limpeza/desinfecção"),"Pós-óbito",IF(OR(E208="Transporte do paciente",E208="Cuidado direto",E208="Contato com fluidos",E208="Serviço de saúde",E208="Laboratório"),"Exposição direta/assistencial","Exposição comunitária/outro")))</x:f>
      </x:c>
      <x:c r="Q208" s="16" t="str">
        <x:f>IF(A208="","",IF(P208="Pós-óbito","Sim","Não"))</x:f>
      </x:c>
    </x:row>
    <x:row r="209">
      <x:c r="A209" s="16" t="str"/>
      <x:c r="B209" s="16" t="str"/>
      <x:c r="C209" s="16" t="str"/>
      <x:c r="D209" s="28" t="str"/>
      <x:c r="E209" s="16" t="str"/>
      <x:c r="F209" s="16" t="str"/>
      <x:c r="G209" s="16" t="str"/>
      <x:c r="H209" s="16" t="str"/>
      <x:c r="I209" s="28" t="str"/>
      <x:c r="J209" s="28" t="str"/>
      <x:c r="K209" s="28" t="str"/>
      <x:c r="L209" s="16" t="str"/>
      <x:c r="M209" s="28" t="str">
        <x:f>IF(D209="","",D209+21)</x:f>
      </x:c>
      <x:c r="N209" s="16" t="str">
        <x:f>IF(M209="","",M209-TODAY())</x:f>
      </x:c>
      <x:c r="O209" s="16" t="str">
        <x:f>IF(A209="","",IF(OR(H209="Encerrado",H209="Descartado"),"Encerrado",IF(OR(H209="Sintomático",H209="Suspeito",H209="Confirmado",H209="Óbito"),"Requer avaliação/ação",IF(N209&lt;0,"Prazo concluído","Em monitoramento"))))</x:f>
      </x:c>
      <x:c r="P209" s="16" t="str">
        <x:f>IF(A209="","",IF(OR(E209="Manipulação do corpo",E209="Velório/funeral",E209="Sepultamento",E209="Limpeza/desinfecção"),"Pós-óbito",IF(OR(E209="Transporte do paciente",E209="Cuidado direto",E209="Contato com fluidos",E209="Serviço de saúde",E209="Laboratório"),"Exposição direta/assistencial","Exposição comunitária/outro")))</x:f>
      </x:c>
      <x:c r="Q209" s="16" t="str">
        <x:f>IF(A209="","",IF(P209="Pós-óbito","Sim","Não"))</x:f>
      </x:c>
    </x:row>
    <x:row r="210">
      <x:c r="A210" s="16" t="str"/>
      <x:c r="B210" s="16" t="str"/>
      <x:c r="C210" s="16" t="str"/>
      <x:c r="D210" s="28" t="str"/>
      <x:c r="E210" s="16" t="str"/>
      <x:c r="F210" s="16" t="str"/>
      <x:c r="G210" s="16" t="str"/>
      <x:c r="H210" s="16" t="str"/>
      <x:c r="I210" s="28" t="str"/>
      <x:c r="J210" s="28" t="str"/>
      <x:c r="K210" s="28" t="str"/>
      <x:c r="L210" s="16" t="str"/>
      <x:c r="M210" s="28" t="str">
        <x:f>IF(D210="","",D210+21)</x:f>
      </x:c>
      <x:c r="N210" s="16" t="str">
        <x:f>IF(M210="","",M210-TODAY())</x:f>
      </x:c>
      <x:c r="O210" s="16" t="str">
        <x:f>IF(A210="","",IF(OR(H210="Encerrado",H210="Descartado"),"Encerrado",IF(OR(H210="Sintomático",H210="Suspeito",H210="Confirmado",H210="Óbito"),"Requer avaliação/ação",IF(N210&lt;0,"Prazo concluído","Em monitoramento"))))</x:f>
      </x:c>
      <x:c r="P210" s="16" t="str">
        <x:f>IF(A210="","",IF(OR(E210="Manipulação do corpo",E210="Velório/funeral",E210="Sepultamento",E210="Limpeza/desinfecção"),"Pós-óbito",IF(OR(E210="Transporte do paciente",E210="Cuidado direto",E210="Contato com fluidos",E210="Serviço de saúde",E210="Laboratório"),"Exposição direta/assistencial","Exposição comunitária/outro")))</x:f>
      </x:c>
      <x:c r="Q210" s="16" t="str">
        <x:f>IF(A210="","",IF(P210="Pós-óbito","Sim","Não"))</x:f>
      </x:c>
    </x:row>
    <x:row r="211">
      <x:c r="A211" s="16" t="str"/>
      <x:c r="B211" s="16" t="str"/>
      <x:c r="C211" s="16" t="str"/>
      <x:c r="D211" s="28" t="str"/>
      <x:c r="E211" s="16" t="str"/>
      <x:c r="F211" s="16" t="str"/>
      <x:c r="G211" s="16" t="str"/>
      <x:c r="H211" s="16" t="str"/>
      <x:c r="I211" s="28" t="str"/>
      <x:c r="J211" s="28" t="str"/>
      <x:c r="K211" s="28" t="str"/>
      <x:c r="L211" s="16" t="str"/>
      <x:c r="M211" s="28" t="str">
        <x:f>IF(D211="","",D211+21)</x:f>
      </x:c>
      <x:c r="N211" s="16" t="str">
        <x:f>IF(M211="","",M211-TODAY())</x:f>
      </x:c>
      <x:c r="O211" s="16" t="str">
        <x:f>IF(A211="","",IF(OR(H211="Encerrado",H211="Descartado"),"Encerrado",IF(OR(H211="Sintomático",H211="Suspeito",H211="Confirmado",H211="Óbito"),"Requer avaliação/ação",IF(N211&lt;0,"Prazo concluído","Em monitoramento"))))</x:f>
      </x:c>
      <x:c r="P211" s="16" t="str">
        <x:f>IF(A211="","",IF(OR(E211="Manipulação do corpo",E211="Velório/funeral",E211="Sepultamento",E211="Limpeza/desinfecção"),"Pós-óbito",IF(OR(E211="Transporte do paciente",E211="Cuidado direto",E211="Contato com fluidos",E211="Serviço de saúde",E211="Laboratório"),"Exposição direta/assistencial","Exposição comunitária/outro")))</x:f>
      </x:c>
      <x:c r="Q211" s="16" t="str">
        <x:f>IF(A211="","",IF(P211="Pós-óbito","Sim","Não"))</x:f>
      </x:c>
    </x:row>
    <x:row r="212">
      <x:c r="A212" s="16" t="str"/>
      <x:c r="B212" s="16" t="str"/>
      <x:c r="C212" s="16" t="str"/>
      <x:c r="D212" s="28" t="str"/>
      <x:c r="E212" s="16" t="str"/>
      <x:c r="F212" s="16" t="str"/>
      <x:c r="G212" s="16" t="str"/>
      <x:c r="H212" s="16" t="str"/>
      <x:c r="I212" s="28" t="str"/>
      <x:c r="J212" s="28" t="str"/>
      <x:c r="K212" s="28" t="str"/>
      <x:c r="L212" s="16" t="str"/>
      <x:c r="M212" s="28" t="str">
        <x:f>IF(D212="","",D212+21)</x:f>
      </x:c>
      <x:c r="N212" s="16" t="str">
        <x:f>IF(M212="","",M212-TODAY())</x:f>
      </x:c>
      <x:c r="O212" s="16" t="str">
        <x:f>IF(A212="","",IF(OR(H212="Encerrado",H212="Descartado"),"Encerrado",IF(OR(H212="Sintomático",H212="Suspeito",H212="Confirmado",H212="Óbito"),"Requer avaliação/ação",IF(N212&lt;0,"Prazo concluído","Em monitoramento"))))</x:f>
      </x:c>
      <x:c r="P212" s="16" t="str">
        <x:f>IF(A212="","",IF(OR(E212="Manipulação do corpo",E212="Velório/funeral",E212="Sepultamento",E212="Limpeza/desinfecção"),"Pós-óbito",IF(OR(E212="Transporte do paciente",E212="Cuidado direto",E212="Contato com fluidos",E212="Serviço de saúde",E212="Laboratório"),"Exposição direta/assistencial","Exposição comunitária/outro")))</x:f>
      </x:c>
      <x:c r="Q212" s="16" t="str">
        <x:f>IF(A212="","",IF(P212="Pós-óbito","Sim","Não"))</x:f>
      </x:c>
    </x:row>
    <x:row r="213">
      <x:c r="A213" s="16" t="str"/>
      <x:c r="B213" s="16" t="str"/>
      <x:c r="C213" s="16" t="str"/>
      <x:c r="D213" s="28" t="str"/>
      <x:c r="E213" s="16" t="str"/>
      <x:c r="F213" s="16" t="str"/>
      <x:c r="G213" s="16" t="str"/>
      <x:c r="H213" s="16" t="str"/>
      <x:c r="I213" s="28" t="str"/>
      <x:c r="J213" s="28" t="str"/>
      <x:c r="K213" s="28" t="str"/>
      <x:c r="L213" s="16" t="str"/>
      <x:c r="M213" s="28" t="str">
        <x:f>IF(D213="","",D213+21)</x:f>
      </x:c>
      <x:c r="N213" s="16" t="str">
        <x:f>IF(M213="","",M213-TODAY())</x:f>
      </x:c>
      <x:c r="O213" s="16" t="str">
        <x:f>IF(A213="","",IF(OR(H213="Encerrado",H213="Descartado"),"Encerrado",IF(OR(H213="Sintomático",H213="Suspeito",H213="Confirmado",H213="Óbito"),"Requer avaliação/ação",IF(N213&lt;0,"Prazo concluído","Em monitoramento"))))</x:f>
      </x:c>
      <x:c r="P213" s="16" t="str">
        <x:f>IF(A213="","",IF(OR(E213="Manipulação do corpo",E213="Velório/funeral",E213="Sepultamento",E213="Limpeza/desinfecção"),"Pós-óbito",IF(OR(E213="Transporte do paciente",E213="Cuidado direto",E213="Contato com fluidos",E213="Serviço de saúde",E213="Laboratório"),"Exposição direta/assistencial","Exposição comunitária/outro")))</x:f>
      </x:c>
      <x:c r="Q213" s="16" t="str">
        <x:f>IF(A213="","",IF(P213="Pós-óbito","Sim","Não"))</x:f>
      </x:c>
    </x:row>
    <x:row r="214">
      <x:c r="A214" s="16" t="str"/>
      <x:c r="B214" s="16" t="str"/>
      <x:c r="C214" s="16" t="str"/>
      <x:c r="D214" s="28" t="str"/>
      <x:c r="E214" s="16" t="str"/>
      <x:c r="F214" s="16" t="str"/>
      <x:c r="G214" s="16" t="str"/>
      <x:c r="H214" s="16" t="str"/>
      <x:c r="I214" s="28" t="str"/>
      <x:c r="J214" s="28" t="str"/>
      <x:c r="K214" s="28" t="str"/>
      <x:c r="L214" s="16" t="str"/>
      <x:c r="M214" s="28" t="str">
        <x:f>IF(D214="","",D214+21)</x:f>
      </x:c>
      <x:c r="N214" s="16" t="str">
        <x:f>IF(M214="","",M214-TODAY())</x:f>
      </x:c>
      <x:c r="O214" s="16" t="str">
        <x:f>IF(A214="","",IF(OR(H214="Encerrado",H214="Descartado"),"Encerrado",IF(OR(H214="Sintomático",H214="Suspeito",H214="Confirmado",H214="Óbito"),"Requer avaliação/ação",IF(N214&lt;0,"Prazo concluído","Em monitoramento"))))</x:f>
      </x:c>
      <x:c r="P214" s="16" t="str">
        <x:f>IF(A214="","",IF(OR(E214="Manipulação do corpo",E214="Velório/funeral",E214="Sepultamento",E214="Limpeza/desinfecção"),"Pós-óbito",IF(OR(E214="Transporte do paciente",E214="Cuidado direto",E214="Contato com fluidos",E214="Serviço de saúde",E214="Laboratório"),"Exposição direta/assistencial","Exposição comunitária/outro")))</x:f>
      </x:c>
      <x:c r="Q214" s="16" t="str">
        <x:f>IF(A214="","",IF(P214="Pós-óbito","Sim","Não"))</x:f>
      </x:c>
    </x:row>
    <x:row r="215">
      <x:c r="A215" s="16" t="str"/>
      <x:c r="B215" s="16" t="str"/>
      <x:c r="C215" s="16" t="str"/>
      <x:c r="D215" s="28" t="str"/>
      <x:c r="E215" s="16" t="str"/>
      <x:c r="F215" s="16" t="str"/>
      <x:c r="G215" s="16" t="str"/>
      <x:c r="H215" s="16" t="str"/>
      <x:c r="I215" s="28" t="str"/>
      <x:c r="J215" s="28" t="str"/>
      <x:c r="K215" s="28" t="str"/>
      <x:c r="L215" s="16" t="str"/>
      <x:c r="M215" s="28" t="str">
        <x:f>IF(D215="","",D215+21)</x:f>
      </x:c>
      <x:c r="N215" s="16" t="str">
        <x:f>IF(M215="","",M215-TODAY())</x:f>
      </x:c>
      <x:c r="O215" s="16" t="str">
        <x:f>IF(A215="","",IF(OR(H215="Encerrado",H215="Descartado"),"Encerrado",IF(OR(H215="Sintomático",H215="Suspeito",H215="Confirmado",H215="Óbito"),"Requer avaliação/ação",IF(N215&lt;0,"Prazo concluído","Em monitoramento"))))</x:f>
      </x:c>
      <x:c r="P215" s="16" t="str">
        <x:f>IF(A215="","",IF(OR(E215="Manipulação do corpo",E215="Velório/funeral",E215="Sepultamento",E215="Limpeza/desinfecção"),"Pós-óbito",IF(OR(E215="Transporte do paciente",E215="Cuidado direto",E215="Contato com fluidos",E215="Serviço de saúde",E215="Laboratório"),"Exposição direta/assistencial","Exposição comunitária/outro")))</x:f>
      </x:c>
      <x:c r="Q215" s="16" t="str">
        <x:f>IF(A215="","",IF(P215="Pós-óbito","Sim","Não"))</x:f>
      </x:c>
    </x:row>
    <x:row r="216">
      <x:c r="A216" s="16" t="str"/>
      <x:c r="B216" s="16" t="str"/>
      <x:c r="C216" s="16" t="str"/>
      <x:c r="D216" s="28" t="str"/>
      <x:c r="E216" s="16" t="str"/>
      <x:c r="F216" s="16" t="str"/>
      <x:c r="G216" s="16" t="str"/>
      <x:c r="H216" s="16" t="str"/>
      <x:c r="I216" s="28" t="str"/>
      <x:c r="J216" s="28" t="str"/>
      <x:c r="K216" s="28" t="str"/>
      <x:c r="L216" s="16" t="str"/>
      <x:c r="M216" s="28" t="str">
        <x:f>IF(D216="","",D216+21)</x:f>
      </x:c>
      <x:c r="N216" s="16" t="str">
        <x:f>IF(M216="","",M216-TODAY())</x:f>
      </x:c>
      <x:c r="O216" s="16" t="str">
        <x:f>IF(A216="","",IF(OR(H216="Encerrado",H216="Descartado"),"Encerrado",IF(OR(H216="Sintomático",H216="Suspeito",H216="Confirmado",H216="Óbito"),"Requer avaliação/ação",IF(N216&lt;0,"Prazo concluído","Em monitoramento"))))</x:f>
      </x:c>
      <x:c r="P216" s="16" t="str">
        <x:f>IF(A216="","",IF(OR(E216="Manipulação do corpo",E216="Velório/funeral",E216="Sepultamento",E216="Limpeza/desinfecção"),"Pós-óbito",IF(OR(E216="Transporte do paciente",E216="Cuidado direto",E216="Contato com fluidos",E216="Serviço de saúde",E216="Laboratório"),"Exposição direta/assistencial","Exposição comunitária/outro")))</x:f>
      </x:c>
      <x:c r="Q216" s="16" t="str">
        <x:f>IF(A216="","",IF(P216="Pós-óbito","Sim","Não"))</x:f>
      </x:c>
    </x:row>
    <x:row r="217">
      <x:c r="A217" s="16" t="str"/>
      <x:c r="B217" s="16" t="str"/>
      <x:c r="C217" s="16" t="str"/>
      <x:c r="D217" s="28" t="str"/>
      <x:c r="E217" s="16" t="str"/>
      <x:c r="F217" s="16" t="str"/>
      <x:c r="G217" s="16" t="str"/>
      <x:c r="H217" s="16" t="str"/>
      <x:c r="I217" s="28" t="str"/>
      <x:c r="J217" s="28" t="str"/>
      <x:c r="K217" s="28" t="str"/>
      <x:c r="L217" s="16" t="str"/>
      <x:c r="M217" s="28" t="str">
        <x:f>IF(D217="","",D217+21)</x:f>
      </x:c>
      <x:c r="N217" s="16" t="str">
        <x:f>IF(M217="","",M217-TODAY())</x:f>
      </x:c>
      <x:c r="O217" s="16" t="str">
        <x:f>IF(A217="","",IF(OR(H217="Encerrado",H217="Descartado"),"Encerrado",IF(OR(H217="Sintomático",H217="Suspeito",H217="Confirmado",H217="Óbito"),"Requer avaliação/ação",IF(N217&lt;0,"Prazo concluído","Em monitoramento"))))</x:f>
      </x:c>
      <x:c r="P217" s="16" t="str">
        <x:f>IF(A217="","",IF(OR(E217="Manipulação do corpo",E217="Velório/funeral",E217="Sepultamento",E217="Limpeza/desinfecção"),"Pós-óbito",IF(OR(E217="Transporte do paciente",E217="Cuidado direto",E217="Contato com fluidos",E217="Serviço de saúde",E217="Laboratório"),"Exposição direta/assistencial","Exposição comunitária/outro")))</x:f>
      </x:c>
      <x:c r="Q217" s="16" t="str">
        <x:f>IF(A217="","",IF(P217="Pós-óbito","Sim","Não"))</x:f>
      </x:c>
    </x:row>
    <x:row r="218">
      <x:c r="A218" s="16" t="str"/>
      <x:c r="B218" s="16" t="str"/>
      <x:c r="C218" s="16" t="str"/>
      <x:c r="D218" s="28" t="str"/>
      <x:c r="E218" s="16" t="str"/>
      <x:c r="F218" s="16" t="str"/>
      <x:c r="G218" s="16" t="str"/>
      <x:c r="H218" s="16" t="str"/>
      <x:c r="I218" s="28" t="str"/>
      <x:c r="J218" s="28" t="str"/>
      <x:c r="K218" s="28" t="str"/>
      <x:c r="L218" s="16" t="str"/>
      <x:c r="M218" s="28" t="str">
        <x:f>IF(D218="","",D218+21)</x:f>
      </x:c>
      <x:c r="N218" s="16" t="str">
        <x:f>IF(M218="","",M218-TODAY())</x:f>
      </x:c>
      <x:c r="O218" s="16" t="str">
        <x:f>IF(A218="","",IF(OR(H218="Encerrado",H218="Descartado"),"Encerrado",IF(OR(H218="Sintomático",H218="Suspeito",H218="Confirmado",H218="Óbito"),"Requer avaliação/ação",IF(N218&lt;0,"Prazo concluído","Em monitoramento"))))</x:f>
      </x:c>
      <x:c r="P218" s="16" t="str">
        <x:f>IF(A218="","",IF(OR(E218="Manipulação do corpo",E218="Velório/funeral",E218="Sepultamento",E218="Limpeza/desinfecção"),"Pós-óbito",IF(OR(E218="Transporte do paciente",E218="Cuidado direto",E218="Contato com fluidos",E218="Serviço de saúde",E218="Laboratório"),"Exposição direta/assistencial","Exposição comunitária/outro")))</x:f>
      </x:c>
      <x:c r="Q218" s="16" t="str">
        <x:f>IF(A218="","",IF(P218="Pós-óbito","Sim","Não"))</x:f>
      </x:c>
    </x:row>
    <x:row r="219">
      <x:c r="A219" s="16" t="str"/>
      <x:c r="B219" s="16" t="str"/>
      <x:c r="C219" s="16" t="str"/>
      <x:c r="D219" s="28" t="str"/>
      <x:c r="E219" s="16" t="str"/>
      <x:c r="F219" s="16" t="str"/>
      <x:c r="G219" s="16" t="str"/>
      <x:c r="H219" s="16" t="str"/>
      <x:c r="I219" s="28" t="str"/>
      <x:c r="J219" s="28" t="str"/>
      <x:c r="K219" s="28" t="str"/>
      <x:c r="L219" s="16" t="str"/>
      <x:c r="M219" s="28" t="str">
        <x:f>IF(D219="","",D219+21)</x:f>
      </x:c>
      <x:c r="N219" s="16" t="str">
        <x:f>IF(M219="","",M219-TODAY())</x:f>
      </x:c>
      <x:c r="O219" s="16" t="str">
        <x:f>IF(A219="","",IF(OR(H219="Encerrado",H219="Descartado"),"Encerrado",IF(OR(H219="Sintomático",H219="Suspeito",H219="Confirmado",H219="Óbito"),"Requer avaliação/ação",IF(N219&lt;0,"Prazo concluído","Em monitoramento"))))</x:f>
      </x:c>
      <x:c r="P219" s="16" t="str">
        <x:f>IF(A219="","",IF(OR(E219="Manipulação do corpo",E219="Velório/funeral",E219="Sepultamento",E219="Limpeza/desinfecção"),"Pós-óbito",IF(OR(E219="Transporte do paciente",E219="Cuidado direto",E219="Contato com fluidos",E219="Serviço de saúde",E219="Laboratório"),"Exposição direta/assistencial","Exposição comunitária/outro")))</x:f>
      </x:c>
      <x:c r="Q219" s="16" t="str">
        <x:f>IF(A219="","",IF(P219="Pós-óbito","Sim","Não"))</x:f>
      </x:c>
    </x:row>
    <x:row r="220">
      <x:c r="A220" s="16" t="str"/>
      <x:c r="B220" s="16" t="str"/>
      <x:c r="C220" s="16" t="str"/>
      <x:c r="D220" s="28" t="str"/>
      <x:c r="E220" s="16" t="str"/>
      <x:c r="F220" s="16" t="str"/>
      <x:c r="G220" s="16" t="str"/>
      <x:c r="H220" s="16" t="str"/>
      <x:c r="I220" s="28" t="str"/>
      <x:c r="J220" s="28" t="str"/>
      <x:c r="K220" s="28" t="str"/>
      <x:c r="L220" s="16" t="str"/>
      <x:c r="M220" s="28" t="str">
        <x:f>IF(D220="","",D220+21)</x:f>
      </x:c>
      <x:c r="N220" s="16" t="str">
        <x:f>IF(M220="","",M220-TODAY())</x:f>
      </x:c>
      <x:c r="O220" s="16" t="str">
        <x:f>IF(A220="","",IF(OR(H220="Encerrado",H220="Descartado"),"Encerrado",IF(OR(H220="Sintomático",H220="Suspeito",H220="Confirmado",H220="Óbito"),"Requer avaliação/ação",IF(N220&lt;0,"Prazo concluído","Em monitoramento"))))</x:f>
      </x:c>
      <x:c r="P220" s="16" t="str">
        <x:f>IF(A220="","",IF(OR(E220="Manipulação do corpo",E220="Velório/funeral",E220="Sepultamento",E220="Limpeza/desinfecção"),"Pós-óbito",IF(OR(E220="Transporte do paciente",E220="Cuidado direto",E220="Contato com fluidos",E220="Serviço de saúde",E220="Laboratório"),"Exposição direta/assistencial","Exposição comunitária/outro")))</x:f>
      </x:c>
      <x:c r="Q220" s="16" t="str">
        <x:f>IF(A220="","",IF(P220="Pós-óbito","Sim","Não"))</x:f>
      </x:c>
    </x:row>
    <x:row r="221">
      <x:c r="A221" s="16" t="str"/>
      <x:c r="B221" s="16" t="str"/>
      <x:c r="C221" s="16" t="str"/>
      <x:c r="D221" s="28" t="str"/>
      <x:c r="E221" s="16" t="str"/>
      <x:c r="F221" s="16" t="str"/>
      <x:c r="G221" s="16" t="str"/>
      <x:c r="H221" s="16" t="str"/>
      <x:c r="I221" s="28" t="str"/>
      <x:c r="J221" s="28" t="str"/>
      <x:c r="K221" s="28" t="str"/>
      <x:c r="L221" s="16" t="str"/>
      <x:c r="M221" s="28" t="str">
        <x:f>IF(D221="","",D221+21)</x:f>
      </x:c>
      <x:c r="N221" s="16" t="str">
        <x:f>IF(M221="","",M221-TODAY())</x:f>
      </x:c>
      <x:c r="O221" s="16" t="str">
        <x:f>IF(A221="","",IF(OR(H221="Encerrado",H221="Descartado"),"Encerrado",IF(OR(H221="Sintomático",H221="Suspeito",H221="Confirmado",H221="Óbito"),"Requer avaliação/ação",IF(N221&lt;0,"Prazo concluído","Em monitoramento"))))</x:f>
      </x:c>
      <x:c r="P221" s="16" t="str">
        <x:f>IF(A221="","",IF(OR(E221="Manipulação do corpo",E221="Velório/funeral",E221="Sepultamento",E221="Limpeza/desinfecção"),"Pós-óbito",IF(OR(E221="Transporte do paciente",E221="Cuidado direto",E221="Contato com fluidos",E221="Serviço de saúde",E221="Laboratório"),"Exposição direta/assistencial","Exposição comunitária/outro")))</x:f>
      </x:c>
      <x:c r="Q221" s="16" t="str">
        <x:f>IF(A221="","",IF(P221="Pós-óbito","Sim","Não"))</x:f>
      </x:c>
    </x:row>
    <x:row r="222">
      <x:c r="A222" s="16" t="str"/>
      <x:c r="B222" s="16" t="str"/>
      <x:c r="C222" s="16" t="str"/>
      <x:c r="D222" s="28" t="str"/>
      <x:c r="E222" s="16" t="str"/>
      <x:c r="F222" s="16" t="str"/>
      <x:c r="G222" s="16" t="str"/>
      <x:c r="H222" s="16" t="str"/>
      <x:c r="I222" s="28" t="str"/>
      <x:c r="J222" s="28" t="str"/>
      <x:c r="K222" s="28" t="str"/>
      <x:c r="L222" s="16" t="str"/>
      <x:c r="M222" s="28" t="str">
        <x:f>IF(D222="","",D222+21)</x:f>
      </x:c>
      <x:c r="N222" s="16" t="str">
        <x:f>IF(M222="","",M222-TODAY())</x:f>
      </x:c>
      <x:c r="O222" s="16" t="str">
        <x:f>IF(A222="","",IF(OR(H222="Encerrado",H222="Descartado"),"Encerrado",IF(OR(H222="Sintomático",H222="Suspeito",H222="Confirmado",H222="Óbito"),"Requer avaliação/ação",IF(N222&lt;0,"Prazo concluído","Em monitoramento"))))</x:f>
      </x:c>
      <x:c r="P222" s="16" t="str">
        <x:f>IF(A222="","",IF(OR(E222="Manipulação do corpo",E222="Velório/funeral",E222="Sepultamento",E222="Limpeza/desinfecção"),"Pós-óbito",IF(OR(E222="Transporte do paciente",E222="Cuidado direto",E222="Contato com fluidos",E222="Serviço de saúde",E222="Laboratório"),"Exposição direta/assistencial","Exposição comunitária/outro")))</x:f>
      </x:c>
      <x:c r="Q222" s="16" t="str">
        <x:f>IF(A222="","",IF(P222="Pós-óbito","Sim","Não"))</x:f>
      </x:c>
    </x:row>
    <x:row r="223">
      <x:c r="A223" s="16" t="str"/>
      <x:c r="B223" s="16" t="str"/>
      <x:c r="C223" s="16" t="str"/>
      <x:c r="D223" s="28" t="str"/>
      <x:c r="E223" s="16" t="str"/>
      <x:c r="F223" s="16" t="str"/>
      <x:c r="G223" s="16" t="str"/>
      <x:c r="H223" s="16" t="str"/>
      <x:c r="I223" s="28" t="str"/>
      <x:c r="J223" s="28" t="str"/>
      <x:c r="K223" s="28" t="str"/>
      <x:c r="L223" s="16" t="str"/>
      <x:c r="M223" s="28" t="str">
        <x:f>IF(D223="","",D223+21)</x:f>
      </x:c>
      <x:c r="N223" s="16" t="str">
        <x:f>IF(M223="","",M223-TODAY())</x:f>
      </x:c>
      <x:c r="O223" s="16" t="str">
        <x:f>IF(A223="","",IF(OR(H223="Encerrado",H223="Descartado"),"Encerrado",IF(OR(H223="Sintomático",H223="Suspeito",H223="Confirmado",H223="Óbito"),"Requer avaliação/ação",IF(N223&lt;0,"Prazo concluído","Em monitoramento"))))</x:f>
      </x:c>
      <x:c r="P223" s="16" t="str">
        <x:f>IF(A223="","",IF(OR(E223="Manipulação do corpo",E223="Velório/funeral",E223="Sepultamento",E223="Limpeza/desinfecção"),"Pós-óbito",IF(OR(E223="Transporte do paciente",E223="Cuidado direto",E223="Contato com fluidos",E223="Serviço de saúde",E223="Laboratório"),"Exposição direta/assistencial","Exposição comunitária/outro")))</x:f>
      </x:c>
      <x:c r="Q223" s="16" t="str">
        <x:f>IF(A223="","",IF(P223="Pós-óbito","Sim","Não"))</x:f>
      </x:c>
    </x:row>
    <x:row r="224">
      <x:c r="A224" s="16" t="str"/>
      <x:c r="B224" s="16" t="str"/>
      <x:c r="C224" s="16" t="str"/>
      <x:c r="D224" s="28" t="str"/>
      <x:c r="E224" s="16" t="str"/>
      <x:c r="F224" s="16" t="str"/>
      <x:c r="G224" s="16" t="str"/>
      <x:c r="H224" s="16" t="str"/>
      <x:c r="I224" s="28" t="str"/>
      <x:c r="J224" s="28" t="str"/>
      <x:c r="K224" s="28" t="str"/>
      <x:c r="L224" s="16" t="str"/>
      <x:c r="M224" s="28" t="str">
        <x:f>IF(D224="","",D224+21)</x:f>
      </x:c>
      <x:c r="N224" s="16" t="str">
        <x:f>IF(M224="","",M224-TODAY())</x:f>
      </x:c>
      <x:c r="O224" s="16" t="str">
        <x:f>IF(A224="","",IF(OR(H224="Encerrado",H224="Descartado"),"Encerrado",IF(OR(H224="Sintomático",H224="Suspeito",H224="Confirmado",H224="Óbito"),"Requer avaliação/ação",IF(N224&lt;0,"Prazo concluído","Em monitoramento"))))</x:f>
      </x:c>
      <x:c r="P224" s="16" t="str">
        <x:f>IF(A224="","",IF(OR(E224="Manipulação do corpo",E224="Velório/funeral",E224="Sepultamento",E224="Limpeza/desinfecção"),"Pós-óbito",IF(OR(E224="Transporte do paciente",E224="Cuidado direto",E224="Contato com fluidos",E224="Serviço de saúde",E224="Laboratório"),"Exposição direta/assistencial","Exposição comunitária/outro")))</x:f>
      </x:c>
      <x:c r="Q224" s="16" t="str">
        <x:f>IF(A224="","",IF(P224="Pós-óbito","Sim","Não"))</x:f>
      </x:c>
    </x:row>
    <x:row r="225">
      <x:c r="A225" s="16" t="str"/>
      <x:c r="B225" s="16" t="str"/>
      <x:c r="C225" s="16" t="str"/>
      <x:c r="D225" s="28" t="str"/>
      <x:c r="E225" s="16" t="str"/>
      <x:c r="F225" s="16" t="str"/>
      <x:c r="G225" s="16" t="str"/>
      <x:c r="H225" s="16" t="str"/>
      <x:c r="I225" s="28" t="str"/>
      <x:c r="J225" s="28" t="str"/>
      <x:c r="K225" s="28" t="str"/>
      <x:c r="L225" s="16" t="str"/>
      <x:c r="M225" s="28" t="str">
        <x:f>IF(D225="","",D225+21)</x:f>
      </x:c>
      <x:c r="N225" s="16" t="str">
        <x:f>IF(M225="","",M225-TODAY())</x:f>
      </x:c>
      <x:c r="O225" s="16" t="str">
        <x:f>IF(A225="","",IF(OR(H225="Encerrado",H225="Descartado"),"Encerrado",IF(OR(H225="Sintomático",H225="Suspeito",H225="Confirmado",H225="Óbito"),"Requer avaliação/ação",IF(N225&lt;0,"Prazo concluído","Em monitoramento"))))</x:f>
      </x:c>
      <x:c r="P225" s="16" t="str">
        <x:f>IF(A225="","",IF(OR(E225="Manipulação do corpo",E225="Velório/funeral",E225="Sepultamento",E225="Limpeza/desinfecção"),"Pós-óbito",IF(OR(E225="Transporte do paciente",E225="Cuidado direto",E225="Contato com fluidos",E225="Serviço de saúde",E225="Laboratório"),"Exposição direta/assistencial","Exposição comunitária/outro")))</x:f>
      </x:c>
      <x:c r="Q225" s="16" t="str">
        <x:f>IF(A225="","",IF(P225="Pós-óbito","Sim","Não"))</x:f>
      </x:c>
    </x:row>
    <x:row r="226">
      <x:c r="A226" s="16" t="str"/>
      <x:c r="B226" s="16" t="str"/>
      <x:c r="C226" s="16" t="str"/>
      <x:c r="D226" s="28" t="str"/>
      <x:c r="E226" s="16" t="str"/>
      <x:c r="F226" s="16" t="str"/>
      <x:c r="G226" s="16" t="str"/>
      <x:c r="H226" s="16" t="str"/>
      <x:c r="I226" s="28" t="str"/>
      <x:c r="J226" s="28" t="str"/>
      <x:c r="K226" s="28" t="str"/>
      <x:c r="L226" s="16" t="str"/>
      <x:c r="M226" s="28" t="str">
        <x:f>IF(D226="","",D226+21)</x:f>
      </x:c>
      <x:c r="N226" s="16" t="str">
        <x:f>IF(M226="","",M226-TODAY())</x:f>
      </x:c>
      <x:c r="O226" s="16" t="str">
        <x:f>IF(A226="","",IF(OR(H226="Encerrado",H226="Descartado"),"Encerrado",IF(OR(H226="Sintomático",H226="Suspeito",H226="Confirmado",H226="Óbito"),"Requer avaliação/ação",IF(N226&lt;0,"Prazo concluído","Em monitoramento"))))</x:f>
      </x:c>
      <x:c r="P226" s="16" t="str">
        <x:f>IF(A226="","",IF(OR(E226="Manipulação do corpo",E226="Velório/funeral",E226="Sepultamento",E226="Limpeza/desinfecção"),"Pós-óbito",IF(OR(E226="Transporte do paciente",E226="Cuidado direto",E226="Contato com fluidos",E226="Serviço de saúde",E226="Laboratório"),"Exposição direta/assistencial","Exposição comunitária/outro")))</x:f>
      </x:c>
      <x:c r="Q226" s="16" t="str">
        <x:f>IF(A226="","",IF(P226="Pós-óbito","Sim","Não"))</x:f>
      </x:c>
    </x:row>
    <x:row r="227">
      <x:c r="A227" s="16" t="str"/>
      <x:c r="B227" s="16" t="str"/>
      <x:c r="C227" s="16" t="str"/>
      <x:c r="D227" s="28" t="str"/>
      <x:c r="E227" s="16" t="str"/>
      <x:c r="F227" s="16" t="str"/>
      <x:c r="G227" s="16" t="str"/>
      <x:c r="H227" s="16" t="str"/>
      <x:c r="I227" s="28" t="str"/>
      <x:c r="J227" s="28" t="str"/>
      <x:c r="K227" s="28" t="str"/>
      <x:c r="L227" s="16" t="str"/>
      <x:c r="M227" s="28" t="str">
        <x:f>IF(D227="","",D227+21)</x:f>
      </x:c>
      <x:c r="N227" s="16" t="str">
        <x:f>IF(M227="","",M227-TODAY())</x:f>
      </x:c>
      <x:c r="O227" s="16" t="str">
        <x:f>IF(A227="","",IF(OR(H227="Encerrado",H227="Descartado"),"Encerrado",IF(OR(H227="Sintomático",H227="Suspeito",H227="Confirmado",H227="Óbito"),"Requer avaliação/ação",IF(N227&lt;0,"Prazo concluído","Em monitoramento"))))</x:f>
      </x:c>
      <x:c r="P227" s="16" t="str">
        <x:f>IF(A227="","",IF(OR(E227="Manipulação do corpo",E227="Velório/funeral",E227="Sepultamento",E227="Limpeza/desinfecção"),"Pós-óbito",IF(OR(E227="Transporte do paciente",E227="Cuidado direto",E227="Contato com fluidos",E227="Serviço de saúde",E227="Laboratório"),"Exposição direta/assistencial","Exposição comunitária/outro")))</x:f>
      </x:c>
      <x:c r="Q227" s="16" t="str">
        <x:f>IF(A227="","",IF(P227="Pós-óbito","Sim","Não"))</x:f>
      </x:c>
    </x:row>
    <x:row r="228">
      <x:c r="A228" s="16" t="str"/>
      <x:c r="B228" s="16" t="str"/>
      <x:c r="C228" s="16" t="str"/>
      <x:c r="D228" s="28" t="str"/>
      <x:c r="E228" s="16" t="str"/>
      <x:c r="F228" s="16" t="str"/>
      <x:c r="G228" s="16" t="str"/>
      <x:c r="H228" s="16" t="str"/>
      <x:c r="I228" s="28" t="str"/>
      <x:c r="J228" s="28" t="str"/>
      <x:c r="K228" s="28" t="str"/>
      <x:c r="L228" s="16" t="str"/>
      <x:c r="M228" s="28" t="str">
        <x:f>IF(D228="","",D228+21)</x:f>
      </x:c>
      <x:c r="N228" s="16" t="str">
        <x:f>IF(M228="","",M228-TODAY())</x:f>
      </x:c>
      <x:c r="O228" s="16" t="str">
        <x:f>IF(A228="","",IF(OR(H228="Encerrado",H228="Descartado"),"Encerrado",IF(OR(H228="Sintomático",H228="Suspeito",H228="Confirmado",H228="Óbito"),"Requer avaliação/ação",IF(N228&lt;0,"Prazo concluído","Em monitoramento"))))</x:f>
      </x:c>
      <x:c r="P228" s="16" t="str">
        <x:f>IF(A228="","",IF(OR(E228="Manipulação do corpo",E228="Velório/funeral",E228="Sepultamento",E228="Limpeza/desinfecção"),"Pós-óbito",IF(OR(E228="Transporte do paciente",E228="Cuidado direto",E228="Contato com fluidos",E228="Serviço de saúde",E228="Laboratório"),"Exposição direta/assistencial","Exposição comunitária/outro")))</x:f>
      </x:c>
      <x:c r="Q228" s="16" t="str">
        <x:f>IF(A228="","",IF(P228="Pós-óbito","Sim","Não"))</x:f>
      </x:c>
    </x:row>
    <x:row r="229">
      <x:c r="A229" s="16" t="str"/>
      <x:c r="B229" s="16" t="str"/>
      <x:c r="C229" s="16" t="str"/>
      <x:c r="D229" s="28" t="str"/>
      <x:c r="E229" s="16" t="str"/>
      <x:c r="F229" s="16" t="str"/>
      <x:c r="G229" s="16" t="str"/>
      <x:c r="H229" s="16" t="str"/>
      <x:c r="I229" s="28" t="str"/>
      <x:c r="J229" s="28" t="str"/>
      <x:c r="K229" s="28" t="str"/>
      <x:c r="L229" s="16" t="str"/>
      <x:c r="M229" s="28" t="str">
        <x:f>IF(D229="","",D229+21)</x:f>
      </x:c>
      <x:c r="N229" s="16" t="str">
        <x:f>IF(M229="","",M229-TODAY())</x:f>
      </x:c>
      <x:c r="O229" s="16" t="str">
        <x:f>IF(A229="","",IF(OR(H229="Encerrado",H229="Descartado"),"Encerrado",IF(OR(H229="Sintomático",H229="Suspeito",H229="Confirmado",H229="Óbito"),"Requer avaliação/ação",IF(N229&lt;0,"Prazo concluído","Em monitoramento"))))</x:f>
      </x:c>
      <x:c r="P229" s="16" t="str">
        <x:f>IF(A229="","",IF(OR(E229="Manipulação do corpo",E229="Velório/funeral",E229="Sepultamento",E229="Limpeza/desinfecção"),"Pós-óbito",IF(OR(E229="Transporte do paciente",E229="Cuidado direto",E229="Contato com fluidos",E229="Serviço de saúde",E229="Laboratório"),"Exposição direta/assistencial","Exposição comunitária/outro")))</x:f>
      </x:c>
      <x:c r="Q229" s="16" t="str">
        <x:f>IF(A229="","",IF(P229="Pós-óbito","Sim","Não"))</x:f>
      </x:c>
    </x:row>
    <x:row r="230">
      <x:c r="A230" s="16" t="str"/>
      <x:c r="B230" s="16" t="str"/>
      <x:c r="C230" s="16" t="str"/>
      <x:c r="D230" s="28" t="str"/>
      <x:c r="E230" s="16" t="str"/>
      <x:c r="F230" s="16" t="str"/>
      <x:c r="G230" s="16" t="str"/>
      <x:c r="H230" s="16" t="str"/>
      <x:c r="I230" s="28" t="str"/>
      <x:c r="J230" s="28" t="str"/>
      <x:c r="K230" s="28" t="str"/>
      <x:c r="L230" s="16" t="str"/>
      <x:c r="M230" s="28" t="str">
        <x:f>IF(D230="","",D230+21)</x:f>
      </x:c>
      <x:c r="N230" s="16" t="str">
        <x:f>IF(M230="","",M230-TODAY())</x:f>
      </x:c>
      <x:c r="O230" s="16" t="str">
        <x:f>IF(A230="","",IF(OR(H230="Encerrado",H230="Descartado"),"Encerrado",IF(OR(H230="Sintomático",H230="Suspeito",H230="Confirmado",H230="Óbito"),"Requer avaliação/ação",IF(N230&lt;0,"Prazo concluído","Em monitoramento"))))</x:f>
      </x:c>
      <x:c r="P230" s="16" t="str">
        <x:f>IF(A230="","",IF(OR(E230="Manipulação do corpo",E230="Velório/funeral",E230="Sepultamento",E230="Limpeza/desinfecção"),"Pós-óbito",IF(OR(E230="Transporte do paciente",E230="Cuidado direto",E230="Contato com fluidos",E230="Serviço de saúde",E230="Laboratório"),"Exposição direta/assistencial","Exposição comunitária/outro")))</x:f>
      </x:c>
      <x:c r="Q230" s="16" t="str">
        <x:f>IF(A230="","",IF(P230="Pós-óbito","Sim","Não"))</x:f>
      </x:c>
    </x:row>
    <x:row r="231">
      <x:c r="A231" s="16" t="str"/>
      <x:c r="B231" s="16" t="str"/>
      <x:c r="C231" s="16" t="str"/>
      <x:c r="D231" s="28" t="str"/>
      <x:c r="E231" s="16" t="str"/>
      <x:c r="F231" s="16" t="str"/>
      <x:c r="G231" s="16" t="str"/>
      <x:c r="H231" s="16" t="str"/>
      <x:c r="I231" s="28" t="str"/>
      <x:c r="J231" s="28" t="str"/>
      <x:c r="K231" s="28" t="str"/>
      <x:c r="L231" s="16" t="str"/>
      <x:c r="M231" s="28" t="str">
        <x:f>IF(D231="","",D231+21)</x:f>
      </x:c>
      <x:c r="N231" s="16" t="str">
        <x:f>IF(M231="","",M231-TODAY())</x:f>
      </x:c>
      <x:c r="O231" s="16" t="str">
        <x:f>IF(A231="","",IF(OR(H231="Encerrado",H231="Descartado"),"Encerrado",IF(OR(H231="Sintomático",H231="Suspeito",H231="Confirmado",H231="Óbito"),"Requer avaliação/ação",IF(N231&lt;0,"Prazo concluído","Em monitoramento"))))</x:f>
      </x:c>
      <x:c r="P231" s="16" t="str">
        <x:f>IF(A231="","",IF(OR(E231="Manipulação do corpo",E231="Velório/funeral",E231="Sepultamento",E231="Limpeza/desinfecção"),"Pós-óbito",IF(OR(E231="Transporte do paciente",E231="Cuidado direto",E231="Contato com fluidos",E231="Serviço de saúde",E231="Laboratório"),"Exposição direta/assistencial","Exposição comunitária/outro")))</x:f>
      </x:c>
      <x:c r="Q231" s="16" t="str">
        <x:f>IF(A231="","",IF(P231="Pós-óbito","Sim","Não"))</x:f>
      </x:c>
    </x:row>
    <x:row r="232">
      <x:c r="A232" s="16" t="str"/>
      <x:c r="B232" s="16" t="str"/>
      <x:c r="C232" s="16" t="str"/>
      <x:c r="D232" s="28" t="str"/>
      <x:c r="E232" s="16" t="str"/>
      <x:c r="F232" s="16" t="str"/>
      <x:c r="G232" s="16" t="str"/>
      <x:c r="H232" s="16" t="str"/>
      <x:c r="I232" s="28" t="str"/>
      <x:c r="J232" s="28" t="str"/>
      <x:c r="K232" s="28" t="str"/>
      <x:c r="L232" s="16" t="str"/>
      <x:c r="M232" s="28" t="str">
        <x:f>IF(D232="","",D232+21)</x:f>
      </x:c>
      <x:c r="N232" s="16" t="str">
        <x:f>IF(M232="","",M232-TODAY())</x:f>
      </x:c>
      <x:c r="O232" s="16" t="str">
        <x:f>IF(A232="","",IF(OR(H232="Encerrado",H232="Descartado"),"Encerrado",IF(OR(H232="Sintomático",H232="Suspeito",H232="Confirmado",H232="Óbito"),"Requer avaliação/ação",IF(N232&lt;0,"Prazo concluído","Em monitoramento"))))</x:f>
      </x:c>
      <x:c r="P232" s="16" t="str">
        <x:f>IF(A232="","",IF(OR(E232="Manipulação do corpo",E232="Velório/funeral",E232="Sepultamento",E232="Limpeza/desinfecção"),"Pós-óbito",IF(OR(E232="Transporte do paciente",E232="Cuidado direto",E232="Contato com fluidos",E232="Serviço de saúde",E232="Laboratório"),"Exposição direta/assistencial","Exposição comunitária/outro")))</x:f>
      </x:c>
      <x:c r="Q232" s="16" t="str">
        <x:f>IF(A232="","",IF(P232="Pós-óbito","Sim","Não"))</x:f>
      </x:c>
    </x:row>
    <x:row r="233">
      <x:c r="A233" s="16" t="str"/>
      <x:c r="B233" s="16" t="str"/>
      <x:c r="C233" s="16" t="str"/>
      <x:c r="D233" s="28" t="str"/>
      <x:c r="E233" s="16" t="str"/>
      <x:c r="F233" s="16" t="str"/>
      <x:c r="G233" s="16" t="str"/>
      <x:c r="H233" s="16" t="str"/>
      <x:c r="I233" s="28" t="str"/>
      <x:c r="J233" s="28" t="str"/>
      <x:c r="K233" s="28" t="str"/>
      <x:c r="L233" s="16" t="str"/>
      <x:c r="M233" s="28" t="str">
        <x:f>IF(D233="","",D233+21)</x:f>
      </x:c>
      <x:c r="N233" s="16" t="str">
        <x:f>IF(M233="","",M233-TODAY())</x:f>
      </x:c>
      <x:c r="O233" s="16" t="str">
        <x:f>IF(A233="","",IF(OR(H233="Encerrado",H233="Descartado"),"Encerrado",IF(OR(H233="Sintomático",H233="Suspeito",H233="Confirmado",H233="Óbito"),"Requer avaliação/ação",IF(N233&lt;0,"Prazo concluído","Em monitoramento"))))</x:f>
      </x:c>
      <x:c r="P233" s="16" t="str">
        <x:f>IF(A233="","",IF(OR(E233="Manipulação do corpo",E233="Velório/funeral",E233="Sepultamento",E233="Limpeza/desinfecção"),"Pós-óbito",IF(OR(E233="Transporte do paciente",E233="Cuidado direto",E233="Contato com fluidos",E233="Serviço de saúde",E233="Laboratório"),"Exposição direta/assistencial","Exposição comunitária/outro")))</x:f>
      </x:c>
      <x:c r="Q233" s="16" t="str">
        <x:f>IF(A233="","",IF(P233="Pós-óbito","Sim","Não"))</x:f>
      </x:c>
    </x:row>
    <x:row r="234">
      <x:c r="A234" s="16" t="str"/>
      <x:c r="B234" s="16" t="str"/>
      <x:c r="C234" s="16" t="str"/>
      <x:c r="D234" s="28" t="str"/>
      <x:c r="E234" s="16" t="str"/>
      <x:c r="F234" s="16" t="str"/>
      <x:c r="G234" s="16" t="str"/>
      <x:c r="H234" s="16" t="str"/>
      <x:c r="I234" s="28" t="str"/>
      <x:c r="J234" s="28" t="str"/>
      <x:c r="K234" s="28" t="str"/>
      <x:c r="L234" s="16" t="str"/>
      <x:c r="M234" s="28" t="str">
        <x:f>IF(D234="","",D234+21)</x:f>
      </x:c>
      <x:c r="N234" s="16" t="str">
        <x:f>IF(M234="","",M234-TODAY())</x:f>
      </x:c>
      <x:c r="O234" s="16" t="str">
        <x:f>IF(A234="","",IF(OR(H234="Encerrado",H234="Descartado"),"Encerrado",IF(OR(H234="Sintomático",H234="Suspeito",H234="Confirmado",H234="Óbito"),"Requer avaliação/ação",IF(N234&lt;0,"Prazo concluído","Em monitoramento"))))</x:f>
      </x:c>
      <x:c r="P234" s="16" t="str">
        <x:f>IF(A234="","",IF(OR(E234="Manipulação do corpo",E234="Velório/funeral",E234="Sepultamento",E234="Limpeza/desinfecção"),"Pós-óbito",IF(OR(E234="Transporte do paciente",E234="Cuidado direto",E234="Contato com fluidos",E234="Serviço de saúde",E234="Laboratório"),"Exposição direta/assistencial","Exposição comunitária/outro")))</x:f>
      </x:c>
      <x:c r="Q234" s="16" t="str">
        <x:f>IF(A234="","",IF(P234="Pós-óbito","Sim","Não"))</x:f>
      </x:c>
    </x:row>
    <x:row r="235">
      <x:c r="A235" s="16" t="str"/>
      <x:c r="B235" s="16" t="str"/>
      <x:c r="C235" s="16" t="str"/>
      <x:c r="D235" s="28" t="str"/>
      <x:c r="E235" s="16" t="str"/>
      <x:c r="F235" s="16" t="str"/>
      <x:c r="G235" s="16" t="str"/>
      <x:c r="H235" s="16" t="str"/>
      <x:c r="I235" s="28" t="str"/>
      <x:c r="J235" s="28" t="str"/>
      <x:c r="K235" s="28" t="str"/>
      <x:c r="L235" s="16" t="str"/>
      <x:c r="M235" s="28" t="str">
        <x:f>IF(D235="","",D235+21)</x:f>
      </x:c>
      <x:c r="N235" s="16" t="str">
        <x:f>IF(M235="","",M235-TODAY())</x:f>
      </x:c>
      <x:c r="O235" s="16" t="str">
        <x:f>IF(A235="","",IF(OR(H235="Encerrado",H235="Descartado"),"Encerrado",IF(OR(H235="Sintomático",H235="Suspeito",H235="Confirmado",H235="Óbito"),"Requer avaliação/ação",IF(N235&lt;0,"Prazo concluído","Em monitoramento"))))</x:f>
      </x:c>
      <x:c r="P235" s="16" t="str">
        <x:f>IF(A235="","",IF(OR(E235="Manipulação do corpo",E235="Velório/funeral",E235="Sepultamento",E235="Limpeza/desinfecção"),"Pós-óbito",IF(OR(E235="Transporte do paciente",E235="Cuidado direto",E235="Contato com fluidos",E235="Serviço de saúde",E235="Laboratório"),"Exposição direta/assistencial","Exposição comunitária/outro")))</x:f>
      </x:c>
      <x:c r="Q235" s="16" t="str">
        <x:f>IF(A235="","",IF(P235="Pós-óbito","Sim","Não"))</x:f>
      </x:c>
    </x:row>
    <x:row r="236">
      <x:c r="A236" s="16" t="str"/>
      <x:c r="B236" s="16" t="str"/>
      <x:c r="C236" s="16" t="str"/>
      <x:c r="D236" s="28" t="str"/>
      <x:c r="E236" s="16" t="str"/>
      <x:c r="F236" s="16" t="str"/>
      <x:c r="G236" s="16" t="str"/>
      <x:c r="H236" s="16" t="str"/>
      <x:c r="I236" s="28" t="str"/>
      <x:c r="J236" s="28" t="str"/>
      <x:c r="K236" s="28" t="str"/>
      <x:c r="L236" s="16" t="str"/>
      <x:c r="M236" s="28" t="str">
        <x:f>IF(D236="","",D236+21)</x:f>
      </x:c>
      <x:c r="N236" s="16" t="str">
        <x:f>IF(M236="","",M236-TODAY())</x:f>
      </x:c>
      <x:c r="O236" s="16" t="str">
        <x:f>IF(A236="","",IF(OR(H236="Encerrado",H236="Descartado"),"Encerrado",IF(OR(H236="Sintomático",H236="Suspeito",H236="Confirmado",H236="Óbito"),"Requer avaliação/ação",IF(N236&lt;0,"Prazo concluído","Em monitoramento"))))</x:f>
      </x:c>
      <x:c r="P236" s="16" t="str">
        <x:f>IF(A236="","",IF(OR(E236="Manipulação do corpo",E236="Velório/funeral",E236="Sepultamento",E236="Limpeza/desinfecção"),"Pós-óbito",IF(OR(E236="Transporte do paciente",E236="Cuidado direto",E236="Contato com fluidos",E236="Serviço de saúde",E236="Laboratório"),"Exposição direta/assistencial","Exposição comunitária/outro")))</x:f>
      </x:c>
      <x:c r="Q236" s="16" t="str">
        <x:f>IF(A236="","",IF(P236="Pós-óbito","Sim","Não"))</x:f>
      </x:c>
    </x:row>
    <x:row r="237">
      <x:c r="A237" s="16" t="str"/>
      <x:c r="B237" s="16" t="str"/>
      <x:c r="C237" s="16" t="str"/>
      <x:c r="D237" s="28" t="str"/>
      <x:c r="E237" s="16" t="str"/>
      <x:c r="F237" s="16" t="str"/>
      <x:c r="G237" s="16" t="str"/>
      <x:c r="H237" s="16" t="str"/>
      <x:c r="I237" s="28" t="str"/>
      <x:c r="J237" s="28" t="str"/>
      <x:c r="K237" s="28" t="str"/>
      <x:c r="L237" s="16" t="str"/>
      <x:c r="M237" s="28" t="str">
        <x:f>IF(D237="","",D237+21)</x:f>
      </x:c>
      <x:c r="N237" s="16" t="str">
        <x:f>IF(M237="","",M237-TODAY())</x:f>
      </x:c>
      <x:c r="O237" s="16" t="str">
        <x:f>IF(A237="","",IF(OR(H237="Encerrado",H237="Descartado"),"Encerrado",IF(OR(H237="Sintomático",H237="Suspeito",H237="Confirmado",H237="Óbito"),"Requer avaliação/ação",IF(N237&lt;0,"Prazo concluído","Em monitoramento"))))</x:f>
      </x:c>
      <x:c r="P237" s="16" t="str">
        <x:f>IF(A237="","",IF(OR(E237="Manipulação do corpo",E237="Velório/funeral",E237="Sepultamento",E237="Limpeza/desinfecção"),"Pós-óbito",IF(OR(E237="Transporte do paciente",E237="Cuidado direto",E237="Contato com fluidos",E237="Serviço de saúde",E237="Laboratório"),"Exposição direta/assistencial","Exposição comunitária/outro")))</x:f>
      </x:c>
      <x:c r="Q237" s="16" t="str">
        <x:f>IF(A237="","",IF(P237="Pós-óbito","Sim","Não"))</x:f>
      </x:c>
    </x:row>
    <x:row r="238">
      <x:c r="A238" s="16" t="str"/>
      <x:c r="B238" s="16" t="str"/>
      <x:c r="C238" s="16" t="str"/>
      <x:c r="D238" s="28" t="str"/>
      <x:c r="E238" s="16" t="str"/>
      <x:c r="F238" s="16" t="str"/>
      <x:c r="G238" s="16" t="str"/>
      <x:c r="H238" s="16" t="str"/>
      <x:c r="I238" s="28" t="str"/>
      <x:c r="J238" s="28" t="str"/>
      <x:c r="K238" s="28" t="str"/>
      <x:c r="L238" s="16" t="str"/>
      <x:c r="M238" s="28" t="str">
        <x:f>IF(D238="","",D238+21)</x:f>
      </x:c>
      <x:c r="N238" s="16" t="str">
        <x:f>IF(M238="","",M238-TODAY())</x:f>
      </x:c>
      <x:c r="O238" s="16" t="str">
        <x:f>IF(A238="","",IF(OR(H238="Encerrado",H238="Descartado"),"Encerrado",IF(OR(H238="Sintomático",H238="Suspeito",H238="Confirmado",H238="Óbito"),"Requer avaliação/ação",IF(N238&lt;0,"Prazo concluído","Em monitoramento"))))</x:f>
      </x:c>
      <x:c r="P238" s="16" t="str">
        <x:f>IF(A238="","",IF(OR(E238="Manipulação do corpo",E238="Velório/funeral",E238="Sepultamento",E238="Limpeza/desinfecção"),"Pós-óbito",IF(OR(E238="Transporte do paciente",E238="Cuidado direto",E238="Contato com fluidos",E238="Serviço de saúde",E238="Laboratório"),"Exposição direta/assistencial","Exposição comunitária/outro")))</x:f>
      </x:c>
      <x:c r="Q238" s="16" t="str">
        <x:f>IF(A238="","",IF(P238="Pós-óbito","Sim","Não"))</x:f>
      </x:c>
    </x:row>
    <x:row r="239">
      <x:c r="A239" s="16" t="str"/>
      <x:c r="B239" s="16" t="str"/>
      <x:c r="C239" s="16" t="str"/>
      <x:c r="D239" s="28" t="str"/>
      <x:c r="E239" s="16" t="str"/>
      <x:c r="F239" s="16" t="str"/>
      <x:c r="G239" s="16" t="str"/>
      <x:c r="H239" s="16" t="str"/>
      <x:c r="I239" s="28" t="str"/>
      <x:c r="J239" s="28" t="str"/>
      <x:c r="K239" s="28" t="str"/>
      <x:c r="L239" s="16" t="str"/>
      <x:c r="M239" s="28" t="str">
        <x:f>IF(D239="","",D239+21)</x:f>
      </x:c>
      <x:c r="N239" s="16" t="str">
        <x:f>IF(M239="","",M239-TODAY())</x:f>
      </x:c>
      <x:c r="O239" s="16" t="str">
        <x:f>IF(A239="","",IF(OR(H239="Encerrado",H239="Descartado"),"Encerrado",IF(OR(H239="Sintomático",H239="Suspeito",H239="Confirmado",H239="Óbito"),"Requer avaliação/ação",IF(N239&lt;0,"Prazo concluído","Em monitoramento"))))</x:f>
      </x:c>
      <x:c r="P239" s="16" t="str">
        <x:f>IF(A239="","",IF(OR(E239="Manipulação do corpo",E239="Velório/funeral",E239="Sepultamento",E239="Limpeza/desinfecção"),"Pós-óbito",IF(OR(E239="Transporte do paciente",E239="Cuidado direto",E239="Contato com fluidos",E239="Serviço de saúde",E239="Laboratório"),"Exposição direta/assistencial","Exposição comunitária/outro")))</x:f>
      </x:c>
      <x:c r="Q239" s="16" t="str">
        <x:f>IF(A239="","",IF(P239="Pós-óbito","Sim","Não"))</x:f>
      </x:c>
    </x:row>
    <x:row r="240">
      <x:c r="A240" s="16" t="str"/>
      <x:c r="B240" s="16" t="str"/>
      <x:c r="C240" s="16" t="str"/>
      <x:c r="D240" s="28" t="str"/>
      <x:c r="E240" s="16" t="str"/>
      <x:c r="F240" s="16" t="str"/>
      <x:c r="G240" s="16" t="str"/>
      <x:c r="H240" s="16" t="str"/>
      <x:c r="I240" s="28" t="str"/>
      <x:c r="J240" s="28" t="str"/>
      <x:c r="K240" s="28" t="str"/>
      <x:c r="L240" s="16" t="str"/>
      <x:c r="M240" s="28" t="str">
        <x:f>IF(D240="","",D240+21)</x:f>
      </x:c>
      <x:c r="N240" s="16" t="str">
        <x:f>IF(M240="","",M240-TODAY())</x:f>
      </x:c>
      <x:c r="O240" s="16" t="str">
        <x:f>IF(A240="","",IF(OR(H240="Encerrado",H240="Descartado"),"Encerrado",IF(OR(H240="Sintomático",H240="Suspeito",H240="Confirmado",H240="Óbito"),"Requer avaliação/ação",IF(N240&lt;0,"Prazo concluído","Em monitoramento"))))</x:f>
      </x:c>
      <x:c r="P240" s="16" t="str">
        <x:f>IF(A240="","",IF(OR(E240="Manipulação do corpo",E240="Velório/funeral",E240="Sepultamento",E240="Limpeza/desinfecção"),"Pós-óbito",IF(OR(E240="Transporte do paciente",E240="Cuidado direto",E240="Contato com fluidos",E240="Serviço de saúde",E240="Laboratório"),"Exposição direta/assistencial","Exposição comunitária/outro")))</x:f>
      </x:c>
      <x:c r="Q240" s="16" t="str">
        <x:f>IF(A240="","",IF(P240="Pós-óbito","Sim","Não"))</x:f>
      </x:c>
    </x:row>
    <x:row r="241">
      <x:c r="A241" s="16" t="str"/>
      <x:c r="B241" s="16" t="str"/>
      <x:c r="C241" s="16" t="str"/>
      <x:c r="D241" s="28" t="str"/>
      <x:c r="E241" s="16" t="str"/>
      <x:c r="F241" s="16" t="str"/>
      <x:c r="G241" s="16" t="str"/>
      <x:c r="H241" s="16" t="str"/>
      <x:c r="I241" s="28" t="str"/>
      <x:c r="J241" s="28" t="str"/>
      <x:c r="K241" s="28" t="str"/>
      <x:c r="L241" s="16" t="str"/>
      <x:c r="M241" s="28" t="str">
        <x:f>IF(D241="","",D241+21)</x:f>
      </x:c>
      <x:c r="N241" s="16" t="str">
        <x:f>IF(M241="","",M241-TODAY())</x:f>
      </x:c>
      <x:c r="O241" s="16" t="str">
        <x:f>IF(A241="","",IF(OR(H241="Encerrado",H241="Descartado"),"Encerrado",IF(OR(H241="Sintomático",H241="Suspeito",H241="Confirmado",H241="Óbito"),"Requer avaliação/ação",IF(N241&lt;0,"Prazo concluído","Em monitoramento"))))</x:f>
      </x:c>
      <x:c r="P241" s="16" t="str">
        <x:f>IF(A241="","",IF(OR(E241="Manipulação do corpo",E241="Velório/funeral",E241="Sepultamento",E241="Limpeza/desinfecção"),"Pós-óbito",IF(OR(E241="Transporte do paciente",E241="Cuidado direto",E241="Contato com fluidos",E241="Serviço de saúde",E241="Laboratório"),"Exposição direta/assistencial","Exposição comunitária/outro")))</x:f>
      </x:c>
      <x:c r="Q241" s="16" t="str">
        <x:f>IF(A241="","",IF(P241="Pós-óbito","Sim","Não"))</x:f>
      </x:c>
    </x:row>
    <x:row r="242">
      <x:c r="A242" s="16" t="str"/>
      <x:c r="B242" s="16" t="str"/>
      <x:c r="C242" s="16" t="str"/>
      <x:c r="D242" s="28" t="str"/>
      <x:c r="E242" s="16" t="str"/>
      <x:c r="F242" s="16" t="str"/>
      <x:c r="G242" s="16" t="str"/>
      <x:c r="H242" s="16" t="str"/>
      <x:c r="I242" s="28" t="str"/>
      <x:c r="J242" s="28" t="str"/>
      <x:c r="K242" s="28" t="str"/>
      <x:c r="L242" s="16" t="str"/>
      <x:c r="M242" s="28" t="str">
        <x:f>IF(D242="","",D242+21)</x:f>
      </x:c>
      <x:c r="N242" s="16" t="str">
        <x:f>IF(M242="","",M242-TODAY())</x:f>
      </x:c>
      <x:c r="O242" s="16" t="str">
        <x:f>IF(A242="","",IF(OR(H242="Encerrado",H242="Descartado"),"Encerrado",IF(OR(H242="Sintomático",H242="Suspeito",H242="Confirmado",H242="Óbito"),"Requer avaliação/ação",IF(N242&lt;0,"Prazo concluído","Em monitoramento"))))</x:f>
      </x:c>
      <x:c r="P242" s="16" t="str">
        <x:f>IF(A242="","",IF(OR(E242="Manipulação do corpo",E242="Velório/funeral",E242="Sepultamento",E242="Limpeza/desinfecção"),"Pós-óbito",IF(OR(E242="Transporte do paciente",E242="Cuidado direto",E242="Contato com fluidos",E242="Serviço de saúde",E242="Laboratório"),"Exposição direta/assistencial","Exposição comunitária/outro")))</x:f>
      </x:c>
      <x:c r="Q242" s="16" t="str">
        <x:f>IF(A242="","",IF(P242="Pós-óbito","Sim","Não"))</x:f>
      </x:c>
    </x:row>
    <x:row r="243">
      <x:c r="A243" s="16" t="str"/>
      <x:c r="B243" s="16" t="str"/>
      <x:c r="C243" s="16" t="str"/>
      <x:c r="D243" s="28" t="str"/>
      <x:c r="E243" s="16" t="str"/>
      <x:c r="F243" s="16" t="str"/>
      <x:c r="G243" s="16" t="str"/>
      <x:c r="H243" s="16" t="str"/>
      <x:c r="I243" s="28" t="str"/>
      <x:c r="J243" s="28" t="str"/>
      <x:c r="K243" s="28" t="str"/>
      <x:c r="L243" s="16" t="str"/>
      <x:c r="M243" s="28" t="str">
        <x:f>IF(D243="","",D243+21)</x:f>
      </x:c>
      <x:c r="N243" s="16" t="str">
        <x:f>IF(M243="","",M243-TODAY())</x:f>
      </x:c>
      <x:c r="O243" s="16" t="str">
        <x:f>IF(A243="","",IF(OR(H243="Encerrado",H243="Descartado"),"Encerrado",IF(OR(H243="Sintomático",H243="Suspeito",H243="Confirmado",H243="Óbito"),"Requer avaliação/ação",IF(N243&lt;0,"Prazo concluído","Em monitoramento"))))</x:f>
      </x:c>
      <x:c r="P243" s="16" t="str">
        <x:f>IF(A243="","",IF(OR(E243="Manipulação do corpo",E243="Velório/funeral",E243="Sepultamento",E243="Limpeza/desinfecção"),"Pós-óbito",IF(OR(E243="Transporte do paciente",E243="Cuidado direto",E243="Contato com fluidos",E243="Serviço de saúde",E243="Laboratório"),"Exposição direta/assistencial","Exposição comunitária/outro")))</x:f>
      </x:c>
      <x:c r="Q243" s="16" t="str">
        <x:f>IF(A243="","",IF(P243="Pós-óbito","Sim","Não"))</x:f>
      </x:c>
    </x:row>
    <x:row r="244">
      <x:c r="A244" s="16" t="str"/>
      <x:c r="B244" s="16" t="str"/>
      <x:c r="C244" s="16" t="str"/>
      <x:c r="D244" s="28" t="str"/>
      <x:c r="E244" s="16" t="str"/>
      <x:c r="F244" s="16" t="str"/>
      <x:c r="G244" s="16" t="str"/>
      <x:c r="H244" s="16" t="str"/>
      <x:c r="I244" s="28" t="str"/>
      <x:c r="J244" s="28" t="str"/>
      <x:c r="K244" s="28" t="str"/>
      <x:c r="L244" s="16" t="str"/>
      <x:c r="M244" s="28" t="str">
        <x:f>IF(D244="","",D244+21)</x:f>
      </x:c>
      <x:c r="N244" s="16" t="str">
        <x:f>IF(M244="","",M244-TODAY())</x:f>
      </x:c>
      <x:c r="O244" s="16" t="str">
        <x:f>IF(A244="","",IF(OR(H244="Encerrado",H244="Descartado"),"Encerrado",IF(OR(H244="Sintomático",H244="Suspeito",H244="Confirmado",H244="Óbito"),"Requer avaliação/ação",IF(N244&lt;0,"Prazo concluído","Em monitoramento"))))</x:f>
      </x:c>
      <x:c r="P244" s="16" t="str">
        <x:f>IF(A244="","",IF(OR(E244="Manipulação do corpo",E244="Velório/funeral",E244="Sepultamento",E244="Limpeza/desinfecção"),"Pós-óbito",IF(OR(E244="Transporte do paciente",E244="Cuidado direto",E244="Contato com fluidos",E244="Serviço de saúde",E244="Laboratório"),"Exposição direta/assistencial","Exposição comunitária/outro")))</x:f>
      </x:c>
      <x:c r="Q244" s="16" t="str">
        <x:f>IF(A244="","",IF(P244="Pós-óbito","Sim","Não"))</x:f>
      </x:c>
    </x:row>
    <x:row r="245">
      <x:c r="A245" s="16" t="str"/>
      <x:c r="B245" s="16" t="str"/>
      <x:c r="C245" s="16" t="str"/>
      <x:c r="D245" s="28" t="str"/>
      <x:c r="E245" s="16" t="str"/>
      <x:c r="F245" s="16" t="str"/>
      <x:c r="G245" s="16" t="str"/>
      <x:c r="H245" s="16" t="str"/>
      <x:c r="I245" s="28" t="str"/>
      <x:c r="J245" s="28" t="str"/>
      <x:c r="K245" s="28" t="str"/>
      <x:c r="L245" s="16" t="str"/>
      <x:c r="M245" s="28" t="str">
        <x:f>IF(D245="","",D245+21)</x:f>
      </x:c>
      <x:c r="N245" s="16" t="str">
        <x:f>IF(M245="","",M245-TODAY())</x:f>
      </x:c>
      <x:c r="O245" s="16" t="str">
        <x:f>IF(A245="","",IF(OR(H245="Encerrado",H245="Descartado"),"Encerrado",IF(OR(H245="Sintomático",H245="Suspeito",H245="Confirmado",H245="Óbito"),"Requer avaliação/ação",IF(N245&lt;0,"Prazo concluído","Em monitoramento"))))</x:f>
      </x:c>
      <x:c r="P245" s="16" t="str">
        <x:f>IF(A245="","",IF(OR(E245="Manipulação do corpo",E245="Velório/funeral",E245="Sepultamento",E245="Limpeza/desinfecção"),"Pós-óbito",IF(OR(E245="Transporte do paciente",E245="Cuidado direto",E245="Contato com fluidos",E245="Serviço de saúde",E245="Laboratório"),"Exposição direta/assistencial","Exposição comunitária/outro")))</x:f>
      </x:c>
      <x:c r="Q245" s="16" t="str">
        <x:f>IF(A245="","",IF(P245="Pós-óbito","Sim","Não"))</x:f>
      </x:c>
    </x:row>
    <x:row r="246">
      <x:c r="A246" s="16" t="str"/>
      <x:c r="B246" s="16" t="str"/>
      <x:c r="C246" s="16" t="str"/>
      <x:c r="D246" s="28" t="str"/>
      <x:c r="E246" s="16" t="str"/>
      <x:c r="F246" s="16" t="str"/>
      <x:c r="G246" s="16" t="str"/>
      <x:c r="H246" s="16" t="str"/>
      <x:c r="I246" s="28" t="str"/>
      <x:c r="J246" s="28" t="str"/>
      <x:c r="K246" s="28" t="str"/>
      <x:c r="L246" s="16" t="str"/>
      <x:c r="M246" s="28" t="str">
        <x:f>IF(D246="","",D246+21)</x:f>
      </x:c>
      <x:c r="N246" s="16" t="str">
        <x:f>IF(M246="","",M246-TODAY())</x:f>
      </x:c>
      <x:c r="O246" s="16" t="str">
        <x:f>IF(A246="","",IF(OR(H246="Encerrado",H246="Descartado"),"Encerrado",IF(OR(H246="Sintomático",H246="Suspeito",H246="Confirmado",H246="Óbito"),"Requer avaliação/ação",IF(N246&lt;0,"Prazo concluído","Em monitoramento"))))</x:f>
      </x:c>
      <x:c r="P246" s="16" t="str">
        <x:f>IF(A246="","",IF(OR(E246="Manipulação do corpo",E246="Velório/funeral",E246="Sepultamento",E246="Limpeza/desinfecção"),"Pós-óbito",IF(OR(E246="Transporte do paciente",E246="Cuidado direto",E246="Contato com fluidos",E246="Serviço de saúde",E246="Laboratório"),"Exposição direta/assistencial","Exposição comunitária/outro")))</x:f>
      </x:c>
      <x:c r="Q246" s="16" t="str">
        <x:f>IF(A246="","",IF(P246="Pós-óbito","Sim","Não"))</x:f>
      </x:c>
    </x:row>
    <x:row r="247">
      <x:c r="A247" s="16" t="str"/>
      <x:c r="B247" s="16" t="str"/>
      <x:c r="C247" s="16" t="str"/>
      <x:c r="D247" s="28" t="str"/>
      <x:c r="E247" s="16" t="str"/>
      <x:c r="F247" s="16" t="str"/>
      <x:c r="G247" s="16" t="str"/>
      <x:c r="H247" s="16" t="str"/>
      <x:c r="I247" s="28" t="str"/>
      <x:c r="J247" s="28" t="str"/>
      <x:c r="K247" s="28" t="str"/>
      <x:c r="L247" s="16" t="str"/>
      <x:c r="M247" s="28" t="str">
        <x:f>IF(D247="","",D247+21)</x:f>
      </x:c>
      <x:c r="N247" s="16" t="str">
        <x:f>IF(M247="","",M247-TODAY())</x:f>
      </x:c>
      <x:c r="O247" s="16" t="str">
        <x:f>IF(A247="","",IF(OR(H247="Encerrado",H247="Descartado"),"Encerrado",IF(OR(H247="Sintomático",H247="Suspeito",H247="Confirmado",H247="Óbito"),"Requer avaliação/ação",IF(N247&lt;0,"Prazo concluído","Em monitoramento"))))</x:f>
      </x:c>
      <x:c r="P247" s="16" t="str">
        <x:f>IF(A247="","",IF(OR(E247="Manipulação do corpo",E247="Velório/funeral",E247="Sepultamento",E247="Limpeza/desinfecção"),"Pós-óbito",IF(OR(E247="Transporte do paciente",E247="Cuidado direto",E247="Contato com fluidos",E247="Serviço de saúde",E247="Laboratório"),"Exposição direta/assistencial","Exposição comunitária/outro")))</x:f>
      </x:c>
      <x:c r="Q247" s="16" t="str">
        <x:f>IF(A247="","",IF(P247="Pós-óbito","Sim","Não"))</x:f>
      </x:c>
    </x:row>
    <x:row r="248">
      <x:c r="A248" s="16" t="str"/>
      <x:c r="B248" s="16" t="str"/>
      <x:c r="C248" s="16" t="str"/>
      <x:c r="D248" s="28" t="str"/>
      <x:c r="E248" s="16" t="str"/>
      <x:c r="F248" s="16" t="str"/>
      <x:c r="G248" s="16" t="str"/>
      <x:c r="H248" s="16" t="str"/>
      <x:c r="I248" s="28" t="str"/>
      <x:c r="J248" s="28" t="str"/>
      <x:c r="K248" s="28" t="str"/>
      <x:c r="L248" s="16" t="str"/>
      <x:c r="M248" s="28" t="str">
        <x:f>IF(D248="","",D248+21)</x:f>
      </x:c>
      <x:c r="N248" s="16" t="str">
        <x:f>IF(M248="","",M248-TODAY())</x:f>
      </x:c>
      <x:c r="O248" s="16" t="str">
        <x:f>IF(A248="","",IF(OR(H248="Encerrado",H248="Descartado"),"Encerrado",IF(OR(H248="Sintomático",H248="Suspeito",H248="Confirmado",H248="Óbito"),"Requer avaliação/ação",IF(N248&lt;0,"Prazo concluído","Em monitoramento"))))</x:f>
      </x:c>
      <x:c r="P248" s="16" t="str">
        <x:f>IF(A248="","",IF(OR(E248="Manipulação do corpo",E248="Velório/funeral",E248="Sepultamento",E248="Limpeza/desinfecção"),"Pós-óbito",IF(OR(E248="Transporte do paciente",E248="Cuidado direto",E248="Contato com fluidos",E248="Serviço de saúde",E248="Laboratório"),"Exposição direta/assistencial","Exposição comunitária/outro")))</x:f>
      </x:c>
      <x:c r="Q248" s="16" t="str">
        <x:f>IF(A248="","",IF(P248="Pós-óbito","Sim","Não"))</x:f>
      </x:c>
    </x:row>
    <x:row r="249">
      <x:c r="A249" s="16" t="str"/>
      <x:c r="B249" s="16" t="str"/>
      <x:c r="C249" s="16" t="str"/>
      <x:c r="D249" s="28" t="str"/>
      <x:c r="E249" s="16" t="str"/>
      <x:c r="F249" s="16" t="str"/>
      <x:c r="G249" s="16" t="str"/>
      <x:c r="H249" s="16" t="str"/>
      <x:c r="I249" s="28" t="str"/>
      <x:c r="J249" s="28" t="str"/>
      <x:c r="K249" s="28" t="str"/>
      <x:c r="L249" s="16" t="str"/>
      <x:c r="M249" s="28" t="str">
        <x:f>IF(D249="","",D249+21)</x:f>
      </x:c>
      <x:c r="N249" s="16" t="str">
        <x:f>IF(M249="","",M249-TODAY())</x:f>
      </x:c>
      <x:c r="O249" s="16" t="str">
        <x:f>IF(A249="","",IF(OR(H249="Encerrado",H249="Descartado"),"Encerrado",IF(OR(H249="Sintomático",H249="Suspeito",H249="Confirmado",H249="Óbito"),"Requer avaliação/ação",IF(N249&lt;0,"Prazo concluído","Em monitoramento"))))</x:f>
      </x:c>
      <x:c r="P249" s="16" t="str">
        <x:f>IF(A249="","",IF(OR(E249="Manipulação do corpo",E249="Velório/funeral",E249="Sepultamento",E249="Limpeza/desinfecção"),"Pós-óbito",IF(OR(E249="Transporte do paciente",E249="Cuidado direto",E249="Contato com fluidos",E249="Serviço de saúde",E249="Laboratório"),"Exposição direta/assistencial","Exposição comunitária/outro")))</x:f>
      </x:c>
      <x:c r="Q249" s="16" t="str">
        <x:f>IF(A249="","",IF(P249="Pós-óbito","Sim","Não"))</x:f>
      </x:c>
    </x:row>
    <x:row r="250">
      <x:c r="A250" s="16" t="str"/>
      <x:c r="B250" s="16" t="str"/>
      <x:c r="C250" s="16" t="str"/>
      <x:c r="D250" s="28" t="str"/>
      <x:c r="E250" s="16" t="str"/>
      <x:c r="F250" s="16" t="str"/>
      <x:c r="G250" s="16" t="str"/>
      <x:c r="H250" s="16" t="str"/>
      <x:c r="I250" s="28" t="str"/>
      <x:c r="J250" s="28" t="str"/>
      <x:c r="K250" s="28" t="str"/>
      <x:c r="L250" s="16" t="str"/>
      <x:c r="M250" s="28" t="str">
        <x:f>IF(D250="","",D250+21)</x:f>
      </x:c>
      <x:c r="N250" s="16" t="str">
        <x:f>IF(M250="","",M250-TODAY())</x:f>
      </x:c>
      <x:c r="O250" s="16" t="str">
        <x:f>IF(A250="","",IF(OR(H250="Encerrado",H250="Descartado"),"Encerrado",IF(OR(H250="Sintomático",H250="Suspeito",H250="Confirmado",H250="Óbito"),"Requer avaliação/ação",IF(N250&lt;0,"Prazo concluído","Em monitoramento"))))</x:f>
      </x:c>
      <x:c r="P250" s="16" t="str">
        <x:f>IF(A250="","",IF(OR(E250="Manipulação do corpo",E250="Velório/funeral",E250="Sepultamento",E250="Limpeza/desinfecção"),"Pós-óbito",IF(OR(E250="Transporte do paciente",E250="Cuidado direto",E250="Contato com fluidos",E250="Serviço de saúde",E250="Laboratório"),"Exposição direta/assistencial","Exposição comunitária/outro")))</x:f>
      </x:c>
      <x:c r="Q250" s="16" t="str">
        <x:f>IF(A250="","",IF(P250="Pós-óbito","Sim","Não"))</x:f>
      </x:c>
    </x:row>
    <x:row r="251">
      <x:c r="A251" s="16" t="str"/>
      <x:c r="B251" s="16" t="str"/>
      <x:c r="C251" s="16" t="str"/>
      <x:c r="D251" s="28" t="str"/>
      <x:c r="E251" s="16" t="str"/>
      <x:c r="F251" s="16" t="str"/>
      <x:c r="G251" s="16" t="str"/>
      <x:c r="H251" s="16" t="str"/>
      <x:c r="I251" s="28" t="str"/>
      <x:c r="J251" s="28" t="str"/>
      <x:c r="K251" s="28" t="str"/>
      <x:c r="L251" s="16" t="str"/>
      <x:c r="M251" s="28" t="str">
        <x:f>IF(D251="","",D251+21)</x:f>
      </x:c>
      <x:c r="N251" s="16" t="str">
        <x:f>IF(M251="","",M251-TODAY())</x:f>
      </x:c>
      <x:c r="O251" s="16" t="str">
        <x:f>IF(A251="","",IF(OR(H251="Encerrado",H251="Descartado"),"Encerrado",IF(OR(H251="Sintomático",H251="Suspeito",H251="Confirmado",H251="Óbito"),"Requer avaliação/ação",IF(N251&lt;0,"Prazo concluído","Em monitoramento"))))</x:f>
      </x:c>
      <x:c r="P251" s="16" t="str">
        <x:f>IF(A251="","",IF(OR(E251="Manipulação do corpo",E251="Velório/funeral",E251="Sepultamento",E251="Limpeza/desinfecção"),"Pós-óbito",IF(OR(E251="Transporte do paciente",E251="Cuidado direto",E251="Contato com fluidos",E251="Serviço de saúde",E251="Laboratório"),"Exposição direta/assistencial","Exposição comunitária/outro")))</x:f>
      </x:c>
      <x:c r="Q251" s="16" t="str">
        <x:f>IF(A251="","",IF(P251="Pós-óbito","Sim","Não"))</x:f>
      </x:c>
    </x:row>
    <x:row r="252">
      <x:c r="A252" s="16" t="str"/>
      <x:c r="B252" s="16" t="str"/>
      <x:c r="C252" s="16" t="str"/>
      <x:c r="D252" s="28" t="str"/>
      <x:c r="E252" s="16" t="str"/>
      <x:c r="F252" s="16" t="str"/>
      <x:c r="G252" s="16" t="str"/>
      <x:c r="H252" s="16" t="str"/>
      <x:c r="I252" s="28" t="str"/>
      <x:c r="J252" s="28" t="str"/>
      <x:c r="K252" s="28" t="str"/>
      <x:c r="L252" s="16" t="str"/>
      <x:c r="M252" s="28" t="str">
        <x:f>IF(D252="","",D252+21)</x:f>
      </x:c>
      <x:c r="N252" s="16" t="str">
        <x:f>IF(M252="","",M252-TODAY())</x:f>
      </x:c>
      <x:c r="O252" s="16" t="str">
        <x:f>IF(A252="","",IF(OR(H252="Encerrado",H252="Descartado"),"Encerrado",IF(OR(H252="Sintomático",H252="Suspeito",H252="Confirmado",H252="Óbito"),"Requer avaliação/ação",IF(N252&lt;0,"Prazo concluído","Em monitoramento"))))</x:f>
      </x:c>
      <x:c r="P252" s="16" t="str">
        <x:f>IF(A252="","",IF(OR(E252="Manipulação do corpo",E252="Velório/funeral",E252="Sepultamento",E252="Limpeza/desinfecção"),"Pós-óbito",IF(OR(E252="Transporte do paciente",E252="Cuidado direto",E252="Contato com fluidos",E252="Serviço de saúde",E252="Laboratório"),"Exposição direta/assistencial","Exposição comunitária/outro")))</x:f>
      </x:c>
      <x:c r="Q252" s="16" t="str">
        <x:f>IF(A252="","",IF(P252="Pós-óbito","Sim","Não"))</x:f>
      </x:c>
    </x:row>
    <x:row r="253">
      <x:c r="A253" s="16" t="str"/>
      <x:c r="B253" s="16" t="str"/>
      <x:c r="C253" s="16" t="str"/>
      <x:c r="D253" s="28" t="str"/>
      <x:c r="E253" s="16" t="str"/>
      <x:c r="F253" s="16" t="str"/>
      <x:c r="G253" s="16" t="str"/>
      <x:c r="H253" s="16" t="str"/>
      <x:c r="I253" s="28" t="str"/>
      <x:c r="J253" s="28" t="str"/>
      <x:c r="K253" s="28" t="str"/>
      <x:c r="L253" s="16" t="str"/>
      <x:c r="M253" s="28" t="str">
        <x:f>IF(D253="","",D253+21)</x:f>
      </x:c>
      <x:c r="N253" s="16" t="str">
        <x:f>IF(M253="","",M253-TODAY())</x:f>
      </x:c>
      <x:c r="O253" s="16" t="str">
        <x:f>IF(A253="","",IF(OR(H253="Encerrado",H253="Descartado"),"Encerrado",IF(OR(H253="Sintomático",H253="Suspeito",H253="Confirmado",H253="Óbito"),"Requer avaliação/ação",IF(N253&lt;0,"Prazo concluído","Em monitoramento"))))</x:f>
      </x:c>
      <x:c r="P253" s="16" t="str">
        <x:f>IF(A253="","",IF(OR(E253="Manipulação do corpo",E253="Velório/funeral",E253="Sepultamento",E253="Limpeza/desinfecção"),"Pós-óbito",IF(OR(E253="Transporte do paciente",E253="Cuidado direto",E253="Contato com fluidos",E253="Serviço de saúde",E253="Laboratório"),"Exposição direta/assistencial","Exposição comunitária/outro")))</x:f>
      </x:c>
      <x:c r="Q253" s="16" t="str">
        <x:f>IF(A253="","",IF(P253="Pós-óbito","Sim","Não"))</x:f>
      </x:c>
    </x:row>
    <x:row r="254">
      <x:c r="A254" s="16" t="str"/>
      <x:c r="B254" s="16" t="str"/>
      <x:c r="C254" s="16" t="str"/>
      <x:c r="D254" s="28" t="str"/>
      <x:c r="E254" s="16" t="str"/>
      <x:c r="F254" s="16" t="str"/>
      <x:c r="G254" s="16" t="str"/>
      <x:c r="H254" s="16" t="str"/>
      <x:c r="I254" s="28" t="str"/>
      <x:c r="J254" s="28" t="str"/>
      <x:c r="K254" s="28" t="str"/>
      <x:c r="L254" s="16" t="str"/>
      <x:c r="M254" s="28" t="str">
        <x:f>IF(D254="","",D254+21)</x:f>
      </x:c>
      <x:c r="N254" s="16" t="str">
        <x:f>IF(M254="","",M254-TODAY())</x:f>
      </x:c>
      <x:c r="O254" s="16" t="str">
        <x:f>IF(A254="","",IF(OR(H254="Encerrado",H254="Descartado"),"Encerrado",IF(OR(H254="Sintomático",H254="Suspeito",H254="Confirmado",H254="Óbito"),"Requer avaliação/ação",IF(N254&lt;0,"Prazo concluído","Em monitoramento"))))</x:f>
      </x:c>
      <x:c r="P254" s="16" t="str">
        <x:f>IF(A254="","",IF(OR(E254="Manipulação do corpo",E254="Velório/funeral",E254="Sepultamento",E254="Limpeza/desinfecção"),"Pós-óbito",IF(OR(E254="Transporte do paciente",E254="Cuidado direto",E254="Contato com fluidos",E254="Serviço de saúde",E254="Laboratório"),"Exposição direta/assistencial","Exposição comunitária/outro")))</x:f>
      </x:c>
      <x:c r="Q254" s="16" t="str">
        <x:f>IF(A254="","",IF(P254="Pós-óbito","Sim","Não"))</x:f>
      </x:c>
    </x:row>
    <x:row r="255">
      <x:c r="A255" s="16" t="str"/>
      <x:c r="B255" s="16" t="str"/>
      <x:c r="C255" s="16" t="str"/>
      <x:c r="D255" s="28" t="str"/>
      <x:c r="E255" s="16" t="str"/>
      <x:c r="F255" s="16" t="str"/>
      <x:c r="G255" s="16" t="str"/>
      <x:c r="H255" s="16" t="str"/>
      <x:c r="I255" s="28" t="str"/>
      <x:c r="J255" s="28" t="str"/>
      <x:c r="K255" s="28" t="str"/>
      <x:c r="L255" s="16" t="str"/>
      <x:c r="M255" s="28" t="str">
        <x:f>IF(D255="","",D255+21)</x:f>
      </x:c>
      <x:c r="N255" s="16" t="str">
        <x:f>IF(M255="","",M255-TODAY())</x:f>
      </x:c>
      <x:c r="O255" s="16" t="str">
        <x:f>IF(A255="","",IF(OR(H255="Encerrado",H255="Descartado"),"Encerrado",IF(OR(H255="Sintomático",H255="Suspeito",H255="Confirmado",H255="Óbito"),"Requer avaliação/ação",IF(N255&lt;0,"Prazo concluído","Em monitoramento"))))</x:f>
      </x:c>
      <x:c r="P255" s="16" t="str">
        <x:f>IF(A255="","",IF(OR(E255="Manipulação do corpo",E255="Velório/funeral",E255="Sepultamento",E255="Limpeza/desinfecção"),"Pós-óbito",IF(OR(E255="Transporte do paciente",E255="Cuidado direto",E255="Contato com fluidos",E255="Serviço de saúde",E255="Laboratório"),"Exposição direta/assistencial","Exposição comunitária/outro")))</x:f>
      </x:c>
      <x:c r="Q255" s="16" t="str">
        <x:f>IF(A255="","",IF(P255="Pós-óbito","Sim","Não"))</x:f>
      </x:c>
    </x:row>
    <x:row r="256">
      <x:c r="A256" s="16" t="str"/>
      <x:c r="B256" s="16" t="str"/>
      <x:c r="C256" s="16" t="str"/>
      <x:c r="D256" s="28" t="str"/>
      <x:c r="E256" s="16" t="str"/>
      <x:c r="F256" s="16" t="str"/>
      <x:c r="G256" s="16" t="str"/>
      <x:c r="H256" s="16" t="str"/>
      <x:c r="I256" s="28" t="str"/>
      <x:c r="J256" s="28" t="str"/>
      <x:c r="K256" s="28" t="str"/>
      <x:c r="L256" s="16" t="str"/>
      <x:c r="M256" s="28" t="str">
        <x:f>IF(D256="","",D256+21)</x:f>
      </x:c>
      <x:c r="N256" s="16" t="str">
        <x:f>IF(M256="","",M256-TODAY())</x:f>
      </x:c>
      <x:c r="O256" s="16" t="str">
        <x:f>IF(A256="","",IF(OR(H256="Encerrado",H256="Descartado"),"Encerrado",IF(OR(H256="Sintomático",H256="Suspeito",H256="Confirmado",H256="Óbito"),"Requer avaliação/ação",IF(N256&lt;0,"Prazo concluído","Em monitoramento"))))</x:f>
      </x:c>
      <x:c r="P256" s="16" t="str">
        <x:f>IF(A256="","",IF(OR(E256="Manipulação do corpo",E256="Velório/funeral",E256="Sepultamento",E256="Limpeza/desinfecção"),"Pós-óbito",IF(OR(E256="Transporte do paciente",E256="Cuidado direto",E256="Contato com fluidos",E256="Serviço de saúde",E256="Laboratório"),"Exposição direta/assistencial","Exposição comunitária/outro")))</x:f>
      </x:c>
      <x:c r="Q256" s="16" t="str">
        <x:f>IF(A256="","",IF(P256="Pós-óbito","Sim","Não"))</x:f>
      </x:c>
    </x:row>
    <x:row r="257">
      <x:c r="A257" s="16" t="str"/>
      <x:c r="B257" s="16" t="str"/>
      <x:c r="C257" s="16" t="str"/>
      <x:c r="D257" s="28" t="str"/>
      <x:c r="E257" s="16" t="str"/>
      <x:c r="F257" s="16" t="str"/>
      <x:c r="G257" s="16" t="str"/>
      <x:c r="H257" s="16" t="str"/>
      <x:c r="I257" s="28" t="str"/>
      <x:c r="J257" s="28" t="str"/>
      <x:c r="K257" s="28" t="str"/>
      <x:c r="L257" s="16" t="str"/>
      <x:c r="M257" s="28" t="str">
        <x:f>IF(D257="","",D257+21)</x:f>
      </x:c>
      <x:c r="N257" s="16" t="str">
        <x:f>IF(M257="","",M257-TODAY())</x:f>
      </x:c>
      <x:c r="O257" s="16" t="str">
        <x:f>IF(A257="","",IF(OR(H257="Encerrado",H257="Descartado"),"Encerrado",IF(OR(H257="Sintomático",H257="Suspeito",H257="Confirmado",H257="Óbito"),"Requer avaliação/ação",IF(N257&lt;0,"Prazo concluído","Em monitoramento"))))</x:f>
      </x:c>
      <x:c r="P257" s="16" t="str">
        <x:f>IF(A257="","",IF(OR(E257="Manipulação do corpo",E257="Velório/funeral",E257="Sepultamento",E257="Limpeza/desinfecção"),"Pós-óbito",IF(OR(E257="Transporte do paciente",E257="Cuidado direto",E257="Contato com fluidos",E257="Serviço de saúde",E257="Laboratório"),"Exposição direta/assistencial","Exposição comunitária/outro")))</x:f>
      </x:c>
      <x:c r="Q257" s="16" t="str">
        <x:f>IF(A257="","",IF(P257="Pós-óbito","Sim","Não"))</x:f>
      </x:c>
    </x:row>
    <x:row r="258">
      <x:c r="A258" s="16" t="str"/>
      <x:c r="B258" s="16" t="str"/>
      <x:c r="C258" s="16" t="str"/>
      <x:c r="D258" s="28" t="str"/>
      <x:c r="E258" s="16" t="str"/>
      <x:c r="F258" s="16" t="str"/>
      <x:c r="G258" s="16" t="str"/>
      <x:c r="H258" s="16" t="str"/>
      <x:c r="I258" s="28" t="str"/>
      <x:c r="J258" s="28" t="str"/>
      <x:c r="K258" s="28" t="str"/>
      <x:c r="L258" s="16" t="str"/>
      <x:c r="M258" s="28" t="str">
        <x:f>IF(D258="","",D258+21)</x:f>
      </x:c>
      <x:c r="N258" s="16" t="str">
        <x:f>IF(M258="","",M258-TODAY())</x:f>
      </x:c>
      <x:c r="O258" s="16" t="str">
        <x:f>IF(A258="","",IF(OR(H258="Encerrado",H258="Descartado"),"Encerrado",IF(OR(H258="Sintomático",H258="Suspeito",H258="Confirmado",H258="Óbito"),"Requer avaliação/ação",IF(N258&lt;0,"Prazo concluído","Em monitoramento"))))</x:f>
      </x:c>
      <x:c r="P258" s="16" t="str">
        <x:f>IF(A258="","",IF(OR(E258="Manipulação do corpo",E258="Velório/funeral",E258="Sepultamento",E258="Limpeza/desinfecção"),"Pós-óbito",IF(OR(E258="Transporte do paciente",E258="Cuidado direto",E258="Contato com fluidos",E258="Serviço de saúde",E258="Laboratório"),"Exposição direta/assistencial","Exposição comunitária/outro")))</x:f>
      </x:c>
      <x:c r="Q258" s="16" t="str">
        <x:f>IF(A258="","",IF(P258="Pós-óbito","Sim","Não"))</x:f>
      </x:c>
    </x:row>
    <x:row r="259">
      <x:c r="A259" s="16" t="str"/>
      <x:c r="B259" s="16" t="str"/>
      <x:c r="C259" s="16" t="str"/>
      <x:c r="D259" s="28" t="str"/>
      <x:c r="E259" s="16" t="str"/>
      <x:c r="F259" s="16" t="str"/>
      <x:c r="G259" s="16" t="str"/>
      <x:c r="H259" s="16" t="str"/>
      <x:c r="I259" s="28" t="str"/>
      <x:c r="J259" s="28" t="str"/>
      <x:c r="K259" s="28" t="str"/>
      <x:c r="L259" s="16" t="str"/>
      <x:c r="M259" s="28" t="str">
        <x:f>IF(D259="","",D259+21)</x:f>
      </x:c>
      <x:c r="N259" s="16" t="str">
        <x:f>IF(M259="","",M259-TODAY())</x:f>
      </x:c>
      <x:c r="O259" s="16" t="str">
        <x:f>IF(A259="","",IF(OR(H259="Encerrado",H259="Descartado"),"Encerrado",IF(OR(H259="Sintomático",H259="Suspeito",H259="Confirmado",H259="Óbito"),"Requer avaliação/ação",IF(N259&lt;0,"Prazo concluído","Em monitoramento"))))</x:f>
      </x:c>
      <x:c r="P259" s="16" t="str">
        <x:f>IF(A259="","",IF(OR(E259="Manipulação do corpo",E259="Velório/funeral",E259="Sepultamento",E259="Limpeza/desinfecção"),"Pós-óbito",IF(OR(E259="Transporte do paciente",E259="Cuidado direto",E259="Contato com fluidos",E259="Serviço de saúde",E259="Laboratório"),"Exposição direta/assistencial","Exposição comunitária/outro")))</x:f>
      </x:c>
      <x:c r="Q259" s="16" t="str">
        <x:f>IF(A259="","",IF(P259="Pós-óbito","Sim","Não"))</x:f>
      </x:c>
    </x:row>
    <x:row r="260">
      <x:c r="A260" s="16" t="str"/>
      <x:c r="B260" s="16" t="str"/>
      <x:c r="C260" s="16" t="str"/>
      <x:c r="D260" s="28" t="str"/>
      <x:c r="E260" s="16" t="str"/>
      <x:c r="F260" s="16" t="str"/>
      <x:c r="G260" s="16" t="str"/>
      <x:c r="H260" s="16" t="str"/>
      <x:c r="I260" s="28" t="str"/>
      <x:c r="J260" s="28" t="str"/>
      <x:c r="K260" s="28" t="str"/>
      <x:c r="L260" s="16" t="str"/>
      <x:c r="M260" s="28" t="str">
        <x:f>IF(D260="","",D260+21)</x:f>
      </x:c>
      <x:c r="N260" s="16" t="str">
        <x:f>IF(M260="","",M260-TODAY())</x:f>
      </x:c>
      <x:c r="O260" s="16" t="str">
        <x:f>IF(A260="","",IF(OR(H260="Encerrado",H260="Descartado"),"Encerrado",IF(OR(H260="Sintomático",H260="Suspeito",H260="Confirmado",H260="Óbito"),"Requer avaliação/ação",IF(N260&lt;0,"Prazo concluído","Em monitoramento"))))</x:f>
      </x:c>
      <x:c r="P260" s="16" t="str">
        <x:f>IF(A260="","",IF(OR(E260="Manipulação do corpo",E260="Velório/funeral",E260="Sepultamento",E260="Limpeza/desinfecção"),"Pós-óbito",IF(OR(E260="Transporte do paciente",E260="Cuidado direto",E260="Contato com fluidos",E260="Serviço de saúde",E260="Laboratório"),"Exposição direta/assistencial","Exposição comunitária/outro")))</x:f>
      </x:c>
      <x:c r="Q260" s="16" t="str">
        <x:f>IF(A260="","",IF(P260="Pós-óbito","Sim","Não"))</x:f>
      </x:c>
    </x:row>
    <x:row r="261">
      <x:c r="A261" s="16" t="str"/>
      <x:c r="B261" s="16" t="str"/>
      <x:c r="C261" s="16" t="str"/>
      <x:c r="D261" s="28" t="str"/>
      <x:c r="E261" s="16" t="str"/>
      <x:c r="F261" s="16" t="str"/>
      <x:c r="G261" s="16" t="str"/>
      <x:c r="H261" s="16" t="str"/>
      <x:c r="I261" s="28" t="str"/>
      <x:c r="J261" s="28" t="str"/>
      <x:c r="K261" s="28" t="str"/>
      <x:c r="L261" s="16" t="str"/>
      <x:c r="M261" s="28" t="str">
        <x:f>IF(D261="","",D261+21)</x:f>
      </x:c>
      <x:c r="N261" s="16" t="str">
        <x:f>IF(M261="","",M261-TODAY())</x:f>
      </x:c>
      <x:c r="O261" s="16" t="str">
        <x:f>IF(A261="","",IF(OR(H261="Encerrado",H261="Descartado"),"Encerrado",IF(OR(H261="Sintomático",H261="Suspeito",H261="Confirmado",H261="Óbito"),"Requer avaliação/ação",IF(N261&lt;0,"Prazo concluído","Em monitoramento"))))</x:f>
      </x:c>
      <x:c r="P261" s="16" t="str">
        <x:f>IF(A261="","",IF(OR(E261="Manipulação do corpo",E261="Velório/funeral",E261="Sepultamento",E261="Limpeza/desinfecção"),"Pós-óbito",IF(OR(E261="Transporte do paciente",E261="Cuidado direto",E261="Contato com fluidos",E261="Serviço de saúde",E261="Laboratório"),"Exposição direta/assistencial","Exposição comunitária/outro")))</x:f>
      </x:c>
      <x:c r="Q261" s="16" t="str">
        <x:f>IF(A261="","",IF(P261="Pós-óbito","Sim","Não"))</x:f>
      </x:c>
    </x:row>
    <x:row r="262">
      <x:c r="A262" s="16" t="str"/>
      <x:c r="B262" s="16" t="str"/>
      <x:c r="C262" s="16" t="str"/>
      <x:c r="D262" s="28" t="str"/>
      <x:c r="E262" s="16" t="str"/>
      <x:c r="F262" s="16" t="str"/>
      <x:c r="G262" s="16" t="str"/>
      <x:c r="H262" s="16" t="str"/>
      <x:c r="I262" s="28" t="str"/>
      <x:c r="J262" s="28" t="str"/>
      <x:c r="K262" s="28" t="str"/>
      <x:c r="L262" s="16" t="str"/>
      <x:c r="M262" s="28" t="str">
        <x:f>IF(D262="","",D262+21)</x:f>
      </x:c>
      <x:c r="N262" s="16" t="str">
        <x:f>IF(M262="","",M262-TODAY())</x:f>
      </x:c>
      <x:c r="O262" s="16" t="str">
        <x:f>IF(A262="","",IF(OR(H262="Encerrado",H262="Descartado"),"Encerrado",IF(OR(H262="Sintomático",H262="Suspeito",H262="Confirmado",H262="Óbito"),"Requer avaliação/ação",IF(N262&lt;0,"Prazo concluído","Em monitoramento"))))</x:f>
      </x:c>
      <x:c r="P262" s="16" t="str">
        <x:f>IF(A262="","",IF(OR(E262="Manipulação do corpo",E262="Velório/funeral",E262="Sepultamento",E262="Limpeza/desinfecção"),"Pós-óbito",IF(OR(E262="Transporte do paciente",E262="Cuidado direto",E262="Contato com fluidos",E262="Serviço de saúde",E262="Laboratório"),"Exposição direta/assistencial","Exposição comunitária/outro")))</x:f>
      </x:c>
      <x:c r="Q262" s="16" t="str">
        <x:f>IF(A262="","",IF(P262="Pós-óbito","Sim","Não"))</x:f>
      </x:c>
    </x:row>
    <x:row r="263">
      <x:c r="A263" s="16" t="str"/>
      <x:c r="B263" s="16" t="str"/>
      <x:c r="C263" s="16" t="str"/>
      <x:c r="D263" s="28" t="str"/>
      <x:c r="E263" s="16" t="str"/>
      <x:c r="F263" s="16" t="str"/>
      <x:c r="G263" s="16" t="str"/>
      <x:c r="H263" s="16" t="str"/>
      <x:c r="I263" s="28" t="str"/>
      <x:c r="J263" s="28" t="str"/>
      <x:c r="K263" s="28" t="str"/>
      <x:c r="L263" s="16" t="str"/>
      <x:c r="M263" s="28" t="str">
        <x:f>IF(D263="","",D263+21)</x:f>
      </x:c>
      <x:c r="N263" s="16" t="str">
        <x:f>IF(M263="","",M263-TODAY())</x:f>
      </x:c>
      <x:c r="O263" s="16" t="str">
        <x:f>IF(A263="","",IF(OR(H263="Encerrado",H263="Descartado"),"Encerrado",IF(OR(H263="Sintomático",H263="Suspeito",H263="Confirmado",H263="Óbito"),"Requer avaliação/ação",IF(N263&lt;0,"Prazo concluído","Em monitoramento"))))</x:f>
      </x:c>
      <x:c r="P263" s="16" t="str">
        <x:f>IF(A263="","",IF(OR(E263="Manipulação do corpo",E263="Velório/funeral",E263="Sepultamento",E263="Limpeza/desinfecção"),"Pós-óbito",IF(OR(E263="Transporte do paciente",E263="Cuidado direto",E263="Contato com fluidos",E263="Serviço de saúde",E263="Laboratório"),"Exposição direta/assistencial","Exposição comunitária/outro")))</x:f>
      </x:c>
      <x:c r="Q263" s="16" t="str">
        <x:f>IF(A263="","",IF(P263="Pós-óbito","Sim","Não"))</x:f>
      </x:c>
    </x:row>
    <x:row r="264">
      <x:c r="A264" s="16" t="str"/>
      <x:c r="B264" s="16" t="str"/>
      <x:c r="C264" s="16" t="str"/>
      <x:c r="D264" s="28" t="str"/>
      <x:c r="E264" s="16" t="str"/>
      <x:c r="F264" s="16" t="str"/>
      <x:c r="G264" s="16" t="str"/>
      <x:c r="H264" s="16" t="str"/>
      <x:c r="I264" s="28" t="str"/>
      <x:c r="J264" s="28" t="str"/>
      <x:c r="K264" s="28" t="str"/>
      <x:c r="L264" s="16" t="str"/>
      <x:c r="M264" s="28" t="str">
        <x:f>IF(D264="","",D264+21)</x:f>
      </x:c>
      <x:c r="N264" s="16" t="str">
        <x:f>IF(M264="","",M264-TODAY())</x:f>
      </x:c>
      <x:c r="O264" s="16" t="str">
        <x:f>IF(A264="","",IF(OR(H264="Encerrado",H264="Descartado"),"Encerrado",IF(OR(H264="Sintomático",H264="Suspeito",H264="Confirmado",H264="Óbito"),"Requer avaliação/ação",IF(N264&lt;0,"Prazo concluído","Em monitoramento"))))</x:f>
      </x:c>
      <x:c r="P264" s="16" t="str">
        <x:f>IF(A264="","",IF(OR(E264="Manipulação do corpo",E264="Velório/funeral",E264="Sepultamento",E264="Limpeza/desinfecção"),"Pós-óbito",IF(OR(E264="Transporte do paciente",E264="Cuidado direto",E264="Contato com fluidos",E264="Serviço de saúde",E264="Laboratório"),"Exposição direta/assistencial","Exposição comunitária/outro")))</x:f>
      </x:c>
      <x:c r="Q264" s="16" t="str">
        <x:f>IF(A264="","",IF(P264="Pós-óbito","Sim","Não"))</x:f>
      </x:c>
    </x:row>
    <x:row r="265">
      <x:c r="A265" s="16" t="str"/>
      <x:c r="B265" s="16" t="str"/>
      <x:c r="C265" s="16" t="str"/>
      <x:c r="D265" s="28" t="str"/>
      <x:c r="E265" s="16" t="str"/>
      <x:c r="F265" s="16" t="str"/>
      <x:c r="G265" s="16" t="str"/>
      <x:c r="H265" s="16" t="str"/>
      <x:c r="I265" s="28" t="str"/>
      <x:c r="J265" s="28" t="str"/>
      <x:c r="K265" s="28" t="str"/>
      <x:c r="L265" s="16" t="str"/>
      <x:c r="M265" s="28" t="str">
        <x:f>IF(D265="","",D265+21)</x:f>
      </x:c>
      <x:c r="N265" s="16" t="str">
        <x:f>IF(M265="","",M265-TODAY())</x:f>
      </x:c>
      <x:c r="O265" s="16" t="str">
        <x:f>IF(A265="","",IF(OR(H265="Encerrado",H265="Descartado"),"Encerrado",IF(OR(H265="Sintomático",H265="Suspeito",H265="Confirmado",H265="Óbito"),"Requer avaliação/ação",IF(N265&lt;0,"Prazo concluído","Em monitoramento"))))</x:f>
      </x:c>
      <x:c r="P265" s="16" t="str">
        <x:f>IF(A265="","",IF(OR(E265="Manipulação do corpo",E265="Velório/funeral",E265="Sepultamento",E265="Limpeza/desinfecção"),"Pós-óbito",IF(OR(E265="Transporte do paciente",E265="Cuidado direto",E265="Contato com fluidos",E265="Serviço de saúde",E265="Laboratório"),"Exposição direta/assistencial","Exposição comunitária/outro")))</x:f>
      </x:c>
      <x:c r="Q265" s="16" t="str">
        <x:f>IF(A265="","",IF(P265="Pós-óbito","Sim","Não"))</x:f>
      </x:c>
    </x:row>
    <x:row r="266">
      <x:c r="A266" s="16" t="str"/>
      <x:c r="B266" s="16" t="str"/>
      <x:c r="C266" s="16" t="str"/>
      <x:c r="D266" s="28" t="str"/>
      <x:c r="E266" s="16" t="str"/>
      <x:c r="F266" s="16" t="str"/>
      <x:c r="G266" s="16" t="str"/>
      <x:c r="H266" s="16" t="str"/>
      <x:c r="I266" s="28" t="str"/>
      <x:c r="J266" s="28" t="str"/>
      <x:c r="K266" s="28" t="str"/>
      <x:c r="L266" s="16" t="str"/>
      <x:c r="M266" s="28" t="str">
        <x:f>IF(D266="","",D266+21)</x:f>
      </x:c>
      <x:c r="N266" s="16" t="str">
        <x:f>IF(M266="","",M266-TODAY())</x:f>
      </x:c>
      <x:c r="O266" s="16" t="str">
        <x:f>IF(A266="","",IF(OR(H266="Encerrado",H266="Descartado"),"Encerrado",IF(OR(H266="Sintomático",H266="Suspeito",H266="Confirmado",H266="Óbito"),"Requer avaliação/ação",IF(N266&lt;0,"Prazo concluído","Em monitoramento"))))</x:f>
      </x:c>
      <x:c r="P266" s="16" t="str">
        <x:f>IF(A266="","",IF(OR(E266="Manipulação do corpo",E266="Velório/funeral",E266="Sepultamento",E266="Limpeza/desinfecção"),"Pós-óbito",IF(OR(E266="Transporte do paciente",E266="Cuidado direto",E266="Contato com fluidos",E266="Serviço de saúde",E266="Laboratório"),"Exposição direta/assistencial","Exposição comunitária/outro")))</x:f>
      </x:c>
      <x:c r="Q266" s="16" t="str">
        <x:f>IF(A266="","",IF(P266="Pós-óbito","Sim","Não"))</x:f>
      </x:c>
    </x:row>
    <x:row r="267">
      <x:c r="A267" s="16" t="str"/>
      <x:c r="B267" s="16" t="str"/>
      <x:c r="C267" s="16" t="str"/>
      <x:c r="D267" s="28" t="str"/>
      <x:c r="E267" s="16" t="str"/>
      <x:c r="F267" s="16" t="str"/>
      <x:c r="G267" s="16" t="str"/>
      <x:c r="H267" s="16" t="str"/>
      <x:c r="I267" s="28" t="str"/>
      <x:c r="J267" s="28" t="str"/>
      <x:c r="K267" s="28" t="str"/>
      <x:c r="L267" s="16" t="str"/>
      <x:c r="M267" s="28" t="str">
        <x:f>IF(D267="","",D267+21)</x:f>
      </x:c>
      <x:c r="N267" s="16" t="str">
        <x:f>IF(M267="","",M267-TODAY())</x:f>
      </x:c>
      <x:c r="O267" s="16" t="str">
        <x:f>IF(A267="","",IF(OR(H267="Encerrado",H267="Descartado"),"Encerrado",IF(OR(H267="Sintomático",H267="Suspeito",H267="Confirmado",H267="Óbito"),"Requer avaliação/ação",IF(N267&lt;0,"Prazo concluído","Em monitoramento"))))</x:f>
      </x:c>
      <x:c r="P267" s="16" t="str">
        <x:f>IF(A267="","",IF(OR(E267="Manipulação do corpo",E267="Velório/funeral",E267="Sepultamento",E267="Limpeza/desinfecção"),"Pós-óbito",IF(OR(E267="Transporte do paciente",E267="Cuidado direto",E267="Contato com fluidos",E267="Serviço de saúde",E267="Laboratório"),"Exposição direta/assistencial","Exposição comunitária/outro")))</x:f>
      </x:c>
      <x:c r="Q267" s="16" t="str">
        <x:f>IF(A267="","",IF(P267="Pós-óbito","Sim","Não"))</x:f>
      </x:c>
    </x:row>
    <x:row r="268">
      <x:c r="A268" s="16" t="str"/>
      <x:c r="B268" s="16" t="str"/>
      <x:c r="C268" s="16" t="str"/>
      <x:c r="D268" s="28" t="str"/>
      <x:c r="E268" s="16" t="str"/>
      <x:c r="F268" s="16" t="str"/>
      <x:c r="G268" s="16" t="str"/>
      <x:c r="H268" s="16" t="str"/>
      <x:c r="I268" s="28" t="str"/>
      <x:c r="J268" s="28" t="str"/>
      <x:c r="K268" s="28" t="str"/>
      <x:c r="L268" s="16" t="str"/>
      <x:c r="M268" s="28" t="str">
        <x:f>IF(D268="","",D268+21)</x:f>
      </x:c>
      <x:c r="N268" s="16" t="str">
        <x:f>IF(M268="","",M268-TODAY())</x:f>
      </x:c>
      <x:c r="O268" s="16" t="str">
        <x:f>IF(A268="","",IF(OR(H268="Encerrado",H268="Descartado"),"Encerrado",IF(OR(H268="Sintomático",H268="Suspeito",H268="Confirmado",H268="Óbito"),"Requer avaliação/ação",IF(N268&lt;0,"Prazo concluído","Em monitoramento"))))</x:f>
      </x:c>
      <x:c r="P268" s="16" t="str">
        <x:f>IF(A268="","",IF(OR(E268="Manipulação do corpo",E268="Velório/funeral",E268="Sepultamento",E268="Limpeza/desinfecção"),"Pós-óbito",IF(OR(E268="Transporte do paciente",E268="Cuidado direto",E268="Contato com fluidos",E268="Serviço de saúde",E268="Laboratório"),"Exposição direta/assistencial","Exposição comunitária/outro")))</x:f>
      </x:c>
      <x:c r="Q268" s="16" t="str">
        <x:f>IF(A268="","",IF(P268="Pós-óbito","Sim","Não"))</x:f>
      </x:c>
    </x:row>
    <x:row r="269">
      <x:c r="A269" s="16" t="str"/>
      <x:c r="B269" s="16" t="str"/>
      <x:c r="C269" s="16" t="str"/>
      <x:c r="D269" s="28" t="str"/>
      <x:c r="E269" s="16" t="str"/>
      <x:c r="F269" s="16" t="str"/>
      <x:c r="G269" s="16" t="str"/>
      <x:c r="H269" s="16" t="str"/>
      <x:c r="I269" s="28" t="str"/>
      <x:c r="J269" s="28" t="str"/>
      <x:c r="K269" s="28" t="str"/>
      <x:c r="L269" s="16" t="str"/>
      <x:c r="M269" s="28" t="str">
        <x:f>IF(D269="","",D269+21)</x:f>
      </x:c>
      <x:c r="N269" s="16" t="str">
        <x:f>IF(M269="","",M269-TODAY())</x:f>
      </x:c>
      <x:c r="O269" s="16" t="str">
        <x:f>IF(A269="","",IF(OR(H269="Encerrado",H269="Descartado"),"Encerrado",IF(OR(H269="Sintomático",H269="Suspeito",H269="Confirmado",H269="Óbito"),"Requer avaliação/ação",IF(N269&lt;0,"Prazo concluído","Em monitoramento"))))</x:f>
      </x:c>
      <x:c r="P269" s="16" t="str">
        <x:f>IF(A269="","",IF(OR(E269="Manipulação do corpo",E269="Velório/funeral",E269="Sepultamento",E269="Limpeza/desinfecção"),"Pós-óbito",IF(OR(E269="Transporte do paciente",E269="Cuidado direto",E269="Contato com fluidos",E269="Serviço de saúde",E269="Laboratório"),"Exposição direta/assistencial","Exposição comunitária/outro")))</x:f>
      </x:c>
      <x:c r="Q269" s="16" t="str">
        <x:f>IF(A269="","",IF(P269="Pós-óbito","Sim","Não"))</x:f>
      </x:c>
    </x:row>
    <x:row r="270">
      <x:c r="A270" s="16" t="str"/>
      <x:c r="B270" s="16" t="str"/>
      <x:c r="C270" s="16" t="str"/>
      <x:c r="D270" s="28" t="str"/>
      <x:c r="E270" s="16" t="str"/>
      <x:c r="F270" s="16" t="str"/>
      <x:c r="G270" s="16" t="str"/>
      <x:c r="H270" s="16" t="str"/>
      <x:c r="I270" s="28" t="str"/>
      <x:c r="J270" s="28" t="str"/>
      <x:c r="K270" s="28" t="str"/>
      <x:c r="L270" s="16" t="str"/>
      <x:c r="M270" s="28" t="str">
        <x:f>IF(D270="","",D270+21)</x:f>
      </x:c>
      <x:c r="N270" s="16" t="str">
        <x:f>IF(M270="","",M270-TODAY())</x:f>
      </x:c>
      <x:c r="O270" s="16" t="str">
        <x:f>IF(A270="","",IF(OR(H270="Encerrado",H270="Descartado"),"Encerrado",IF(OR(H270="Sintomático",H270="Suspeito",H270="Confirmado",H270="Óbito"),"Requer avaliação/ação",IF(N270&lt;0,"Prazo concluído","Em monitoramento"))))</x:f>
      </x:c>
      <x:c r="P270" s="16" t="str">
        <x:f>IF(A270="","",IF(OR(E270="Manipulação do corpo",E270="Velório/funeral",E270="Sepultamento",E270="Limpeza/desinfecção"),"Pós-óbito",IF(OR(E270="Transporte do paciente",E270="Cuidado direto",E270="Contato com fluidos",E270="Serviço de saúde",E270="Laboratório"),"Exposição direta/assistencial","Exposição comunitária/outro")))</x:f>
      </x:c>
      <x:c r="Q270" s="16" t="str">
        <x:f>IF(A270="","",IF(P270="Pós-óbito","Sim","Não"))</x:f>
      </x:c>
    </x:row>
    <x:row r="271">
      <x:c r="A271" s="16" t="str"/>
      <x:c r="B271" s="16" t="str"/>
      <x:c r="C271" s="16" t="str"/>
      <x:c r="D271" s="28" t="str"/>
      <x:c r="E271" s="16" t="str"/>
      <x:c r="F271" s="16" t="str"/>
      <x:c r="G271" s="16" t="str"/>
      <x:c r="H271" s="16" t="str"/>
      <x:c r="I271" s="28" t="str"/>
      <x:c r="J271" s="28" t="str"/>
      <x:c r="K271" s="28" t="str"/>
      <x:c r="L271" s="16" t="str"/>
      <x:c r="M271" s="28" t="str">
        <x:f>IF(D271="","",D271+21)</x:f>
      </x:c>
      <x:c r="N271" s="16" t="str">
        <x:f>IF(M271="","",M271-TODAY())</x:f>
      </x:c>
      <x:c r="O271" s="16" t="str">
        <x:f>IF(A271="","",IF(OR(H271="Encerrado",H271="Descartado"),"Encerrado",IF(OR(H271="Sintomático",H271="Suspeito",H271="Confirmado",H271="Óbito"),"Requer avaliação/ação",IF(N271&lt;0,"Prazo concluído","Em monitoramento"))))</x:f>
      </x:c>
      <x:c r="P271" s="16" t="str">
        <x:f>IF(A271="","",IF(OR(E271="Manipulação do corpo",E271="Velório/funeral",E271="Sepultamento",E271="Limpeza/desinfecção"),"Pós-óbito",IF(OR(E271="Transporte do paciente",E271="Cuidado direto",E271="Contato com fluidos",E271="Serviço de saúde",E271="Laboratório"),"Exposição direta/assistencial","Exposição comunitária/outro")))</x:f>
      </x:c>
      <x:c r="Q271" s="16" t="str">
        <x:f>IF(A271="","",IF(P271="Pós-óbito","Sim","Não"))</x:f>
      </x:c>
    </x:row>
    <x:row r="272">
      <x:c r="A272" s="16" t="str"/>
      <x:c r="B272" s="16" t="str"/>
      <x:c r="C272" s="16" t="str"/>
      <x:c r="D272" s="28" t="str"/>
      <x:c r="E272" s="16" t="str"/>
      <x:c r="F272" s="16" t="str"/>
      <x:c r="G272" s="16" t="str"/>
      <x:c r="H272" s="16" t="str"/>
      <x:c r="I272" s="28" t="str"/>
      <x:c r="J272" s="28" t="str"/>
      <x:c r="K272" s="28" t="str"/>
      <x:c r="L272" s="16" t="str"/>
      <x:c r="M272" s="28" t="str">
        <x:f>IF(D272="","",D272+21)</x:f>
      </x:c>
      <x:c r="N272" s="16" t="str">
        <x:f>IF(M272="","",M272-TODAY())</x:f>
      </x:c>
      <x:c r="O272" s="16" t="str">
        <x:f>IF(A272="","",IF(OR(H272="Encerrado",H272="Descartado"),"Encerrado",IF(OR(H272="Sintomático",H272="Suspeito",H272="Confirmado",H272="Óbito"),"Requer avaliação/ação",IF(N272&lt;0,"Prazo concluído","Em monitoramento"))))</x:f>
      </x:c>
      <x:c r="P272" s="16" t="str">
        <x:f>IF(A272="","",IF(OR(E272="Manipulação do corpo",E272="Velório/funeral",E272="Sepultamento",E272="Limpeza/desinfecção"),"Pós-óbito",IF(OR(E272="Transporte do paciente",E272="Cuidado direto",E272="Contato com fluidos",E272="Serviço de saúde",E272="Laboratório"),"Exposição direta/assistencial","Exposição comunitária/outro")))</x:f>
      </x:c>
      <x:c r="Q272" s="16" t="str">
        <x:f>IF(A272="","",IF(P272="Pós-óbito","Sim","Não"))</x:f>
      </x:c>
    </x:row>
    <x:row r="273">
      <x:c r="A273" s="16" t="str"/>
      <x:c r="B273" s="16" t="str"/>
      <x:c r="C273" s="16" t="str"/>
      <x:c r="D273" s="28" t="str"/>
      <x:c r="E273" s="16" t="str"/>
      <x:c r="F273" s="16" t="str"/>
      <x:c r="G273" s="16" t="str"/>
      <x:c r="H273" s="16" t="str"/>
      <x:c r="I273" s="28" t="str"/>
      <x:c r="J273" s="28" t="str"/>
      <x:c r="K273" s="28" t="str"/>
      <x:c r="L273" s="16" t="str"/>
      <x:c r="M273" s="28" t="str">
        <x:f>IF(D273="","",D273+21)</x:f>
      </x:c>
      <x:c r="N273" s="16" t="str">
        <x:f>IF(M273="","",M273-TODAY())</x:f>
      </x:c>
      <x:c r="O273" s="16" t="str">
        <x:f>IF(A273="","",IF(OR(H273="Encerrado",H273="Descartado"),"Encerrado",IF(OR(H273="Sintomático",H273="Suspeito",H273="Confirmado",H273="Óbito"),"Requer avaliação/ação",IF(N273&lt;0,"Prazo concluído","Em monitoramento"))))</x:f>
      </x:c>
      <x:c r="P273" s="16" t="str">
        <x:f>IF(A273="","",IF(OR(E273="Manipulação do corpo",E273="Velório/funeral",E273="Sepultamento",E273="Limpeza/desinfecção"),"Pós-óbito",IF(OR(E273="Transporte do paciente",E273="Cuidado direto",E273="Contato com fluidos",E273="Serviço de saúde",E273="Laboratório"),"Exposição direta/assistencial","Exposição comunitária/outro")))</x:f>
      </x:c>
      <x:c r="Q273" s="16" t="str">
        <x:f>IF(A273="","",IF(P273="Pós-óbito","Sim","Não"))</x:f>
      </x:c>
    </x:row>
    <x:row r="274">
      <x:c r="A274" s="16" t="str"/>
      <x:c r="B274" s="16" t="str"/>
      <x:c r="C274" s="16" t="str"/>
      <x:c r="D274" s="28" t="str"/>
      <x:c r="E274" s="16" t="str"/>
      <x:c r="F274" s="16" t="str"/>
      <x:c r="G274" s="16" t="str"/>
      <x:c r="H274" s="16" t="str"/>
      <x:c r="I274" s="28" t="str"/>
      <x:c r="J274" s="28" t="str"/>
      <x:c r="K274" s="28" t="str"/>
      <x:c r="L274" s="16" t="str"/>
      <x:c r="M274" s="28" t="str">
        <x:f>IF(D274="","",D274+21)</x:f>
      </x:c>
      <x:c r="N274" s="16" t="str">
        <x:f>IF(M274="","",M274-TODAY())</x:f>
      </x:c>
      <x:c r="O274" s="16" t="str">
        <x:f>IF(A274="","",IF(OR(H274="Encerrado",H274="Descartado"),"Encerrado",IF(OR(H274="Sintomático",H274="Suspeito",H274="Confirmado",H274="Óbito"),"Requer avaliação/ação",IF(N274&lt;0,"Prazo concluído","Em monitoramento"))))</x:f>
      </x:c>
      <x:c r="P274" s="16" t="str">
        <x:f>IF(A274="","",IF(OR(E274="Manipulação do corpo",E274="Velório/funeral",E274="Sepultamento",E274="Limpeza/desinfecção"),"Pós-óbito",IF(OR(E274="Transporte do paciente",E274="Cuidado direto",E274="Contato com fluidos",E274="Serviço de saúde",E274="Laboratório"),"Exposição direta/assistencial","Exposição comunitária/outro")))</x:f>
      </x:c>
      <x:c r="Q274" s="16" t="str">
        <x:f>IF(A274="","",IF(P274="Pós-óbito","Sim","Não"))</x:f>
      </x:c>
    </x:row>
    <x:row r="275">
      <x:c r="A275" s="16" t="str"/>
      <x:c r="B275" s="16" t="str"/>
      <x:c r="C275" s="16" t="str"/>
      <x:c r="D275" s="28" t="str"/>
      <x:c r="E275" s="16" t="str"/>
      <x:c r="F275" s="16" t="str"/>
      <x:c r="G275" s="16" t="str"/>
      <x:c r="H275" s="16" t="str"/>
      <x:c r="I275" s="28" t="str"/>
      <x:c r="J275" s="28" t="str"/>
      <x:c r="K275" s="28" t="str"/>
      <x:c r="L275" s="16" t="str"/>
      <x:c r="M275" s="28" t="str">
        <x:f>IF(D275="","",D275+21)</x:f>
      </x:c>
      <x:c r="N275" s="16" t="str">
        <x:f>IF(M275="","",M275-TODAY())</x:f>
      </x:c>
      <x:c r="O275" s="16" t="str">
        <x:f>IF(A275="","",IF(OR(H275="Encerrado",H275="Descartado"),"Encerrado",IF(OR(H275="Sintomático",H275="Suspeito",H275="Confirmado",H275="Óbito"),"Requer avaliação/ação",IF(N275&lt;0,"Prazo concluído","Em monitoramento"))))</x:f>
      </x:c>
      <x:c r="P275" s="16" t="str">
        <x:f>IF(A275="","",IF(OR(E275="Manipulação do corpo",E275="Velório/funeral",E275="Sepultamento",E275="Limpeza/desinfecção"),"Pós-óbito",IF(OR(E275="Transporte do paciente",E275="Cuidado direto",E275="Contato com fluidos",E275="Serviço de saúde",E275="Laboratório"),"Exposição direta/assistencial","Exposição comunitária/outro")))</x:f>
      </x:c>
      <x:c r="Q275" s="16" t="str">
        <x:f>IF(A275="","",IF(P275="Pós-óbito","Sim","Não"))</x:f>
      </x:c>
    </x:row>
    <x:row r="276">
      <x:c r="A276" s="16" t="str"/>
      <x:c r="B276" s="16" t="str"/>
      <x:c r="C276" s="16" t="str"/>
      <x:c r="D276" s="28" t="str"/>
      <x:c r="E276" s="16" t="str"/>
      <x:c r="F276" s="16" t="str"/>
      <x:c r="G276" s="16" t="str"/>
      <x:c r="H276" s="16" t="str"/>
      <x:c r="I276" s="28" t="str"/>
      <x:c r="J276" s="28" t="str"/>
      <x:c r="K276" s="28" t="str"/>
      <x:c r="L276" s="16" t="str"/>
      <x:c r="M276" s="28" t="str">
        <x:f>IF(D276="","",D276+21)</x:f>
      </x:c>
      <x:c r="N276" s="16" t="str">
        <x:f>IF(M276="","",M276-TODAY())</x:f>
      </x:c>
      <x:c r="O276" s="16" t="str">
        <x:f>IF(A276="","",IF(OR(H276="Encerrado",H276="Descartado"),"Encerrado",IF(OR(H276="Sintomático",H276="Suspeito",H276="Confirmado",H276="Óbito"),"Requer avaliação/ação",IF(N276&lt;0,"Prazo concluído","Em monitoramento"))))</x:f>
      </x:c>
      <x:c r="P276" s="16" t="str">
        <x:f>IF(A276="","",IF(OR(E276="Manipulação do corpo",E276="Velório/funeral",E276="Sepultamento",E276="Limpeza/desinfecção"),"Pós-óbito",IF(OR(E276="Transporte do paciente",E276="Cuidado direto",E276="Contato com fluidos",E276="Serviço de saúde",E276="Laboratório"),"Exposição direta/assistencial","Exposição comunitária/outro")))</x:f>
      </x:c>
      <x:c r="Q276" s="16" t="str">
        <x:f>IF(A276="","",IF(P276="Pós-óbito","Sim","Não"))</x:f>
      </x:c>
    </x:row>
    <x:row r="277">
      <x:c r="A277" s="16" t="str"/>
      <x:c r="B277" s="16" t="str"/>
      <x:c r="C277" s="16" t="str"/>
      <x:c r="D277" s="28" t="str"/>
      <x:c r="E277" s="16" t="str"/>
      <x:c r="F277" s="16" t="str"/>
      <x:c r="G277" s="16" t="str"/>
      <x:c r="H277" s="16" t="str"/>
      <x:c r="I277" s="28" t="str"/>
      <x:c r="J277" s="28" t="str"/>
      <x:c r="K277" s="28" t="str"/>
      <x:c r="L277" s="16" t="str"/>
      <x:c r="M277" s="28" t="str">
        <x:f>IF(D277="","",D277+21)</x:f>
      </x:c>
      <x:c r="N277" s="16" t="str">
        <x:f>IF(M277="","",M277-TODAY())</x:f>
      </x:c>
      <x:c r="O277" s="16" t="str">
        <x:f>IF(A277="","",IF(OR(H277="Encerrado",H277="Descartado"),"Encerrado",IF(OR(H277="Sintomático",H277="Suspeito",H277="Confirmado",H277="Óbito"),"Requer avaliação/ação",IF(N277&lt;0,"Prazo concluído","Em monitoramento"))))</x:f>
      </x:c>
      <x:c r="P277" s="16" t="str">
        <x:f>IF(A277="","",IF(OR(E277="Manipulação do corpo",E277="Velório/funeral",E277="Sepultamento",E277="Limpeza/desinfecção"),"Pós-óbito",IF(OR(E277="Transporte do paciente",E277="Cuidado direto",E277="Contato com fluidos",E277="Serviço de saúde",E277="Laboratório"),"Exposição direta/assistencial","Exposição comunitária/outro")))</x:f>
      </x:c>
      <x:c r="Q277" s="16" t="str">
        <x:f>IF(A277="","",IF(P277="Pós-óbito","Sim","Não"))</x:f>
      </x:c>
    </x:row>
    <x:row r="278">
      <x:c r="A278" s="16" t="str"/>
      <x:c r="B278" s="16" t="str"/>
      <x:c r="C278" s="16" t="str"/>
      <x:c r="D278" s="28" t="str"/>
      <x:c r="E278" s="16" t="str"/>
      <x:c r="F278" s="16" t="str"/>
      <x:c r="G278" s="16" t="str"/>
      <x:c r="H278" s="16" t="str"/>
      <x:c r="I278" s="28" t="str"/>
      <x:c r="J278" s="28" t="str"/>
      <x:c r="K278" s="28" t="str"/>
      <x:c r="L278" s="16" t="str"/>
      <x:c r="M278" s="28" t="str">
        <x:f>IF(D278="","",D278+21)</x:f>
      </x:c>
      <x:c r="N278" s="16" t="str">
        <x:f>IF(M278="","",M278-TODAY())</x:f>
      </x:c>
      <x:c r="O278" s="16" t="str">
        <x:f>IF(A278="","",IF(OR(H278="Encerrado",H278="Descartado"),"Encerrado",IF(OR(H278="Sintomático",H278="Suspeito",H278="Confirmado",H278="Óbito"),"Requer avaliação/ação",IF(N278&lt;0,"Prazo concluído","Em monitoramento"))))</x:f>
      </x:c>
      <x:c r="P278" s="16" t="str">
        <x:f>IF(A278="","",IF(OR(E278="Manipulação do corpo",E278="Velório/funeral",E278="Sepultamento",E278="Limpeza/desinfecção"),"Pós-óbito",IF(OR(E278="Transporte do paciente",E278="Cuidado direto",E278="Contato com fluidos",E278="Serviço de saúde",E278="Laboratório"),"Exposição direta/assistencial","Exposição comunitária/outro")))</x:f>
      </x:c>
      <x:c r="Q278" s="16" t="str">
        <x:f>IF(A278="","",IF(P278="Pós-óbito","Sim","Não"))</x:f>
      </x:c>
    </x:row>
    <x:row r="279">
      <x:c r="A279" s="16" t="str"/>
      <x:c r="B279" s="16" t="str"/>
      <x:c r="C279" s="16" t="str"/>
      <x:c r="D279" s="28" t="str"/>
      <x:c r="E279" s="16" t="str"/>
      <x:c r="F279" s="16" t="str"/>
      <x:c r="G279" s="16" t="str"/>
      <x:c r="H279" s="16" t="str"/>
      <x:c r="I279" s="28" t="str"/>
      <x:c r="J279" s="28" t="str"/>
      <x:c r="K279" s="28" t="str"/>
      <x:c r="L279" s="16" t="str"/>
      <x:c r="M279" s="28" t="str">
        <x:f>IF(D279="","",D279+21)</x:f>
      </x:c>
      <x:c r="N279" s="16" t="str">
        <x:f>IF(M279="","",M279-TODAY())</x:f>
      </x:c>
      <x:c r="O279" s="16" t="str">
        <x:f>IF(A279="","",IF(OR(H279="Encerrado",H279="Descartado"),"Encerrado",IF(OR(H279="Sintomático",H279="Suspeito",H279="Confirmado",H279="Óbito"),"Requer avaliação/ação",IF(N279&lt;0,"Prazo concluído","Em monitoramento"))))</x:f>
      </x:c>
      <x:c r="P279" s="16" t="str">
        <x:f>IF(A279="","",IF(OR(E279="Manipulação do corpo",E279="Velório/funeral",E279="Sepultamento",E279="Limpeza/desinfecção"),"Pós-óbito",IF(OR(E279="Transporte do paciente",E279="Cuidado direto",E279="Contato com fluidos",E279="Serviço de saúde",E279="Laboratório"),"Exposição direta/assistencial","Exposição comunitária/outro")))</x:f>
      </x:c>
      <x:c r="Q279" s="16" t="str">
        <x:f>IF(A279="","",IF(P279="Pós-óbito","Sim","Não"))</x:f>
      </x:c>
    </x:row>
    <x:row r="280">
      <x:c r="A280" s="16" t="str"/>
      <x:c r="B280" s="16" t="str"/>
      <x:c r="C280" s="16" t="str"/>
      <x:c r="D280" s="28" t="str"/>
      <x:c r="E280" s="16" t="str"/>
      <x:c r="F280" s="16" t="str"/>
      <x:c r="G280" s="16" t="str"/>
      <x:c r="H280" s="16" t="str"/>
      <x:c r="I280" s="28" t="str"/>
      <x:c r="J280" s="28" t="str"/>
      <x:c r="K280" s="28" t="str"/>
      <x:c r="L280" s="16" t="str"/>
      <x:c r="M280" s="28" t="str">
        <x:f>IF(D280="","",D280+21)</x:f>
      </x:c>
      <x:c r="N280" s="16" t="str">
        <x:f>IF(M280="","",M280-TODAY())</x:f>
      </x:c>
      <x:c r="O280" s="16" t="str">
        <x:f>IF(A280="","",IF(OR(H280="Encerrado",H280="Descartado"),"Encerrado",IF(OR(H280="Sintomático",H280="Suspeito",H280="Confirmado",H280="Óbito"),"Requer avaliação/ação",IF(N280&lt;0,"Prazo concluído","Em monitoramento"))))</x:f>
      </x:c>
      <x:c r="P280" s="16" t="str">
        <x:f>IF(A280="","",IF(OR(E280="Manipulação do corpo",E280="Velório/funeral",E280="Sepultamento",E280="Limpeza/desinfecção"),"Pós-óbito",IF(OR(E280="Transporte do paciente",E280="Cuidado direto",E280="Contato com fluidos",E280="Serviço de saúde",E280="Laboratório"),"Exposição direta/assistencial","Exposição comunitária/outro")))</x:f>
      </x:c>
      <x:c r="Q280" s="16" t="str">
        <x:f>IF(A280="","",IF(P280="Pós-óbito","Sim","Não"))</x:f>
      </x:c>
    </x:row>
    <x:row r="281">
      <x:c r="A281" s="16" t="str"/>
      <x:c r="B281" s="16" t="str"/>
      <x:c r="C281" s="16" t="str"/>
      <x:c r="D281" s="28" t="str"/>
      <x:c r="E281" s="16" t="str"/>
      <x:c r="F281" s="16" t="str"/>
      <x:c r="G281" s="16" t="str"/>
      <x:c r="H281" s="16" t="str"/>
      <x:c r="I281" s="28" t="str"/>
      <x:c r="J281" s="28" t="str"/>
      <x:c r="K281" s="28" t="str"/>
      <x:c r="L281" s="16" t="str"/>
      <x:c r="M281" s="28" t="str">
        <x:f>IF(D281="","",D281+21)</x:f>
      </x:c>
      <x:c r="N281" s="16" t="str">
        <x:f>IF(M281="","",M281-TODAY())</x:f>
      </x:c>
      <x:c r="O281" s="16" t="str">
        <x:f>IF(A281="","",IF(OR(H281="Encerrado",H281="Descartado"),"Encerrado",IF(OR(H281="Sintomático",H281="Suspeito",H281="Confirmado",H281="Óbito"),"Requer avaliação/ação",IF(N281&lt;0,"Prazo concluído","Em monitoramento"))))</x:f>
      </x:c>
      <x:c r="P281" s="16" t="str">
        <x:f>IF(A281="","",IF(OR(E281="Manipulação do corpo",E281="Velório/funeral",E281="Sepultamento",E281="Limpeza/desinfecção"),"Pós-óbito",IF(OR(E281="Transporte do paciente",E281="Cuidado direto",E281="Contato com fluidos",E281="Serviço de saúde",E281="Laboratório"),"Exposição direta/assistencial","Exposição comunitária/outro")))</x:f>
      </x:c>
      <x:c r="Q281" s="16" t="str">
        <x:f>IF(A281="","",IF(P281="Pós-óbito","Sim","Não"))</x:f>
      </x:c>
    </x:row>
    <x:row r="282">
      <x:c r="A282" s="16" t="str"/>
      <x:c r="B282" s="16" t="str"/>
      <x:c r="C282" s="16" t="str"/>
      <x:c r="D282" s="28" t="str"/>
      <x:c r="E282" s="16" t="str"/>
      <x:c r="F282" s="16" t="str"/>
      <x:c r="G282" s="16" t="str"/>
      <x:c r="H282" s="16" t="str"/>
      <x:c r="I282" s="28" t="str"/>
      <x:c r="J282" s="28" t="str"/>
      <x:c r="K282" s="28" t="str"/>
      <x:c r="L282" s="16" t="str"/>
      <x:c r="M282" s="28" t="str">
        <x:f>IF(D282="","",D282+21)</x:f>
      </x:c>
      <x:c r="N282" s="16" t="str">
        <x:f>IF(M282="","",M282-TODAY())</x:f>
      </x:c>
      <x:c r="O282" s="16" t="str">
        <x:f>IF(A282="","",IF(OR(H282="Encerrado",H282="Descartado"),"Encerrado",IF(OR(H282="Sintomático",H282="Suspeito",H282="Confirmado",H282="Óbito"),"Requer avaliação/ação",IF(N282&lt;0,"Prazo concluído","Em monitoramento"))))</x:f>
      </x:c>
      <x:c r="P282" s="16" t="str">
        <x:f>IF(A282="","",IF(OR(E282="Manipulação do corpo",E282="Velório/funeral",E282="Sepultamento",E282="Limpeza/desinfecção"),"Pós-óbito",IF(OR(E282="Transporte do paciente",E282="Cuidado direto",E282="Contato com fluidos",E282="Serviço de saúde",E282="Laboratório"),"Exposição direta/assistencial","Exposição comunitária/outro")))</x:f>
      </x:c>
      <x:c r="Q282" s="16" t="str">
        <x:f>IF(A282="","",IF(P282="Pós-óbito","Sim","Não"))</x:f>
      </x:c>
    </x:row>
    <x:row r="283">
      <x:c r="A283" s="16" t="str"/>
      <x:c r="B283" s="16" t="str"/>
      <x:c r="C283" s="16" t="str"/>
      <x:c r="D283" s="28" t="str"/>
      <x:c r="E283" s="16" t="str"/>
      <x:c r="F283" s="16" t="str"/>
      <x:c r="G283" s="16" t="str"/>
      <x:c r="H283" s="16" t="str"/>
      <x:c r="I283" s="28" t="str"/>
      <x:c r="J283" s="28" t="str"/>
      <x:c r="K283" s="28" t="str"/>
      <x:c r="L283" s="16" t="str"/>
      <x:c r="M283" s="28" t="str">
        <x:f>IF(D283="","",D283+21)</x:f>
      </x:c>
      <x:c r="N283" s="16" t="str">
        <x:f>IF(M283="","",M283-TODAY())</x:f>
      </x:c>
      <x:c r="O283" s="16" t="str">
        <x:f>IF(A283="","",IF(OR(H283="Encerrado",H283="Descartado"),"Encerrado",IF(OR(H283="Sintomático",H283="Suspeito",H283="Confirmado",H283="Óbito"),"Requer avaliação/ação",IF(N283&lt;0,"Prazo concluído","Em monitoramento"))))</x:f>
      </x:c>
      <x:c r="P283" s="16" t="str">
        <x:f>IF(A283="","",IF(OR(E283="Manipulação do corpo",E283="Velório/funeral",E283="Sepultamento",E283="Limpeza/desinfecção"),"Pós-óbito",IF(OR(E283="Transporte do paciente",E283="Cuidado direto",E283="Contato com fluidos",E283="Serviço de saúde",E283="Laboratório"),"Exposição direta/assistencial","Exposição comunitária/outro")))</x:f>
      </x:c>
      <x:c r="Q283" s="16" t="str">
        <x:f>IF(A283="","",IF(P283="Pós-óbito","Sim","Não"))</x:f>
      </x:c>
    </x:row>
    <x:row r="284">
      <x:c r="A284" s="16" t="str"/>
      <x:c r="B284" s="16" t="str"/>
      <x:c r="C284" s="16" t="str"/>
      <x:c r="D284" s="28" t="str"/>
      <x:c r="E284" s="16" t="str"/>
      <x:c r="F284" s="16" t="str"/>
      <x:c r="G284" s="16" t="str"/>
      <x:c r="H284" s="16" t="str"/>
      <x:c r="I284" s="28" t="str"/>
      <x:c r="J284" s="28" t="str"/>
      <x:c r="K284" s="28" t="str"/>
      <x:c r="L284" s="16" t="str"/>
      <x:c r="M284" s="28" t="str">
        <x:f>IF(D284="","",D284+21)</x:f>
      </x:c>
      <x:c r="N284" s="16" t="str">
        <x:f>IF(M284="","",M284-TODAY())</x:f>
      </x:c>
      <x:c r="O284" s="16" t="str">
        <x:f>IF(A284="","",IF(OR(H284="Encerrado",H284="Descartado"),"Encerrado",IF(OR(H284="Sintomático",H284="Suspeito",H284="Confirmado",H284="Óbito"),"Requer avaliação/ação",IF(N284&lt;0,"Prazo concluído","Em monitoramento"))))</x:f>
      </x:c>
      <x:c r="P284" s="16" t="str">
        <x:f>IF(A284="","",IF(OR(E284="Manipulação do corpo",E284="Velório/funeral",E284="Sepultamento",E284="Limpeza/desinfecção"),"Pós-óbito",IF(OR(E284="Transporte do paciente",E284="Cuidado direto",E284="Contato com fluidos",E284="Serviço de saúde",E284="Laboratório"),"Exposição direta/assistencial","Exposição comunitária/outro")))</x:f>
      </x:c>
      <x:c r="Q284" s="16" t="str">
        <x:f>IF(A284="","",IF(P284="Pós-óbito","Sim","Não"))</x:f>
      </x:c>
    </x:row>
    <x:row r="285">
      <x:c r="A285" s="16" t="str"/>
      <x:c r="B285" s="16" t="str"/>
      <x:c r="C285" s="16" t="str"/>
      <x:c r="D285" s="28" t="str"/>
      <x:c r="E285" s="16" t="str"/>
      <x:c r="F285" s="16" t="str"/>
      <x:c r="G285" s="16" t="str"/>
      <x:c r="H285" s="16" t="str"/>
      <x:c r="I285" s="28" t="str"/>
      <x:c r="J285" s="28" t="str"/>
      <x:c r="K285" s="28" t="str"/>
      <x:c r="L285" s="16" t="str"/>
      <x:c r="M285" s="28" t="str">
        <x:f>IF(D285="","",D285+21)</x:f>
      </x:c>
      <x:c r="N285" s="16" t="str">
        <x:f>IF(M285="","",M285-TODAY())</x:f>
      </x:c>
      <x:c r="O285" s="16" t="str">
        <x:f>IF(A285="","",IF(OR(H285="Encerrado",H285="Descartado"),"Encerrado",IF(OR(H285="Sintomático",H285="Suspeito",H285="Confirmado",H285="Óbito"),"Requer avaliação/ação",IF(N285&lt;0,"Prazo concluído","Em monitoramento"))))</x:f>
      </x:c>
      <x:c r="P285" s="16" t="str">
        <x:f>IF(A285="","",IF(OR(E285="Manipulação do corpo",E285="Velório/funeral",E285="Sepultamento",E285="Limpeza/desinfecção"),"Pós-óbito",IF(OR(E285="Transporte do paciente",E285="Cuidado direto",E285="Contato com fluidos",E285="Serviço de saúde",E285="Laboratório"),"Exposição direta/assistencial","Exposição comunitária/outro")))</x:f>
      </x:c>
      <x:c r="Q285" s="16" t="str">
        <x:f>IF(A285="","",IF(P285="Pós-óbito","Sim","Não"))</x:f>
      </x:c>
    </x:row>
    <x:row r="286">
      <x:c r="A286" s="16" t="str"/>
      <x:c r="B286" s="16" t="str"/>
      <x:c r="C286" s="16" t="str"/>
      <x:c r="D286" s="28" t="str"/>
      <x:c r="E286" s="16" t="str"/>
      <x:c r="F286" s="16" t="str"/>
      <x:c r="G286" s="16" t="str"/>
      <x:c r="H286" s="16" t="str"/>
      <x:c r="I286" s="28" t="str"/>
      <x:c r="J286" s="28" t="str"/>
      <x:c r="K286" s="28" t="str"/>
      <x:c r="L286" s="16" t="str"/>
      <x:c r="M286" s="28" t="str">
        <x:f>IF(D286="","",D286+21)</x:f>
      </x:c>
      <x:c r="N286" s="16" t="str">
        <x:f>IF(M286="","",M286-TODAY())</x:f>
      </x:c>
      <x:c r="O286" s="16" t="str">
        <x:f>IF(A286="","",IF(OR(H286="Encerrado",H286="Descartado"),"Encerrado",IF(OR(H286="Sintomático",H286="Suspeito",H286="Confirmado",H286="Óbito"),"Requer avaliação/ação",IF(N286&lt;0,"Prazo concluído","Em monitoramento"))))</x:f>
      </x:c>
      <x:c r="P286" s="16" t="str">
        <x:f>IF(A286="","",IF(OR(E286="Manipulação do corpo",E286="Velório/funeral",E286="Sepultamento",E286="Limpeza/desinfecção"),"Pós-óbito",IF(OR(E286="Transporte do paciente",E286="Cuidado direto",E286="Contato com fluidos",E286="Serviço de saúde",E286="Laboratório"),"Exposição direta/assistencial","Exposição comunitária/outro")))</x:f>
      </x:c>
      <x:c r="Q286" s="16" t="str">
        <x:f>IF(A286="","",IF(P286="Pós-óbito","Sim","Não"))</x:f>
      </x:c>
    </x:row>
    <x:row r="287">
      <x:c r="A287" s="16" t="str"/>
      <x:c r="B287" s="16" t="str"/>
      <x:c r="C287" s="16" t="str"/>
      <x:c r="D287" s="28" t="str"/>
      <x:c r="E287" s="16" t="str"/>
      <x:c r="F287" s="16" t="str"/>
      <x:c r="G287" s="16" t="str"/>
      <x:c r="H287" s="16" t="str"/>
      <x:c r="I287" s="28" t="str"/>
      <x:c r="J287" s="28" t="str"/>
      <x:c r="K287" s="28" t="str"/>
      <x:c r="L287" s="16" t="str"/>
      <x:c r="M287" s="28" t="str">
        <x:f>IF(D287="","",D287+21)</x:f>
      </x:c>
      <x:c r="N287" s="16" t="str">
        <x:f>IF(M287="","",M287-TODAY())</x:f>
      </x:c>
      <x:c r="O287" s="16" t="str">
        <x:f>IF(A287="","",IF(OR(H287="Encerrado",H287="Descartado"),"Encerrado",IF(OR(H287="Sintomático",H287="Suspeito",H287="Confirmado",H287="Óbito"),"Requer avaliação/ação",IF(N287&lt;0,"Prazo concluído","Em monitoramento"))))</x:f>
      </x:c>
      <x:c r="P287" s="16" t="str">
        <x:f>IF(A287="","",IF(OR(E287="Manipulação do corpo",E287="Velório/funeral",E287="Sepultamento",E287="Limpeza/desinfecção"),"Pós-óbito",IF(OR(E287="Transporte do paciente",E287="Cuidado direto",E287="Contato com fluidos",E287="Serviço de saúde",E287="Laboratório"),"Exposição direta/assistencial","Exposição comunitária/outro")))</x:f>
      </x:c>
      <x:c r="Q287" s="16" t="str">
        <x:f>IF(A287="","",IF(P287="Pós-óbito","Sim","Não"))</x:f>
      </x:c>
    </x:row>
    <x:row r="288">
      <x:c r="A288" s="16" t="str"/>
      <x:c r="B288" s="16" t="str"/>
      <x:c r="C288" s="16" t="str"/>
      <x:c r="D288" s="28" t="str"/>
      <x:c r="E288" s="16" t="str"/>
      <x:c r="F288" s="16" t="str"/>
      <x:c r="G288" s="16" t="str"/>
      <x:c r="H288" s="16" t="str"/>
      <x:c r="I288" s="28" t="str"/>
      <x:c r="J288" s="28" t="str"/>
      <x:c r="K288" s="28" t="str"/>
      <x:c r="L288" s="16" t="str"/>
      <x:c r="M288" s="28" t="str">
        <x:f>IF(D288="","",D288+21)</x:f>
      </x:c>
      <x:c r="N288" s="16" t="str">
        <x:f>IF(M288="","",M288-TODAY())</x:f>
      </x:c>
      <x:c r="O288" s="16" t="str">
        <x:f>IF(A288="","",IF(OR(H288="Encerrado",H288="Descartado"),"Encerrado",IF(OR(H288="Sintomático",H288="Suspeito",H288="Confirmado",H288="Óbito"),"Requer avaliação/ação",IF(N288&lt;0,"Prazo concluído","Em monitoramento"))))</x:f>
      </x:c>
      <x:c r="P288" s="16" t="str">
        <x:f>IF(A288="","",IF(OR(E288="Manipulação do corpo",E288="Velório/funeral",E288="Sepultamento",E288="Limpeza/desinfecção"),"Pós-óbito",IF(OR(E288="Transporte do paciente",E288="Cuidado direto",E288="Contato com fluidos",E288="Serviço de saúde",E288="Laboratório"),"Exposição direta/assistencial","Exposição comunitária/outro")))</x:f>
      </x:c>
      <x:c r="Q288" s="16" t="str">
        <x:f>IF(A288="","",IF(P288="Pós-óbito","Sim","Não"))</x:f>
      </x:c>
    </x:row>
    <x:row r="289">
      <x:c r="A289" s="16" t="str"/>
      <x:c r="B289" s="16" t="str"/>
      <x:c r="C289" s="16" t="str"/>
      <x:c r="D289" s="28" t="str"/>
      <x:c r="E289" s="16" t="str"/>
      <x:c r="F289" s="16" t="str"/>
      <x:c r="G289" s="16" t="str"/>
      <x:c r="H289" s="16" t="str"/>
      <x:c r="I289" s="28" t="str"/>
      <x:c r="J289" s="28" t="str"/>
      <x:c r="K289" s="28" t="str"/>
      <x:c r="L289" s="16" t="str"/>
      <x:c r="M289" s="28" t="str">
        <x:f>IF(D289="","",D289+21)</x:f>
      </x:c>
      <x:c r="N289" s="16" t="str">
        <x:f>IF(M289="","",M289-TODAY())</x:f>
      </x:c>
      <x:c r="O289" s="16" t="str">
        <x:f>IF(A289="","",IF(OR(H289="Encerrado",H289="Descartado"),"Encerrado",IF(OR(H289="Sintomático",H289="Suspeito",H289="Confirmado",H289="Óbito"),"Requer avaliação/ação",IF(N289&lt;0,"Prazo concluído","Em monitoramento"))))</x:f>
      </x:c>
      <x:c r="P289" s="16" t="str">
        <x:f>IF(A289="","",IF(OR(E289="Manipulação do corpo",E289="Velório/funeral",E289="Sepultamento",E289="Limpeza/desinfecção"),"Pós-óbito",IF(OR(E289="Transporte do paciente",E289="Cuidado direto",E289="Contato com fluidos",E289="Serviço de saúde",E289="Laboratório"),"Exposição direta/assistencial","Exposição comunitária/outro")))</x:f>
      </x:c>
      <x:c r="Q289" s="16" t="str">
        <x:f>IF(A289="","",IF(P289="Pós-óbito","Sim","Não"))</x:f>
      </x:c>
    </x:row>
    <x:row r="290">
      <x:c r="A290" s="16" t="str"/>
      <x:c r="B290" s="16" t="str"/>
      <x:c r="C290" s="16" t="str"/>
      <x:c r="D290" s="28" t="str"/>
      <x:c r="E290" s="16" t="str"/>
      <x:c r="F290" s="16" t="str"/>
      <x:c r="G290" s="16" t="str"/>
      <x:c r="H290" s="16" t="str"/>
      <x:c r="I290" s="28" t="str"/>
      <x:c r="J290" s="28" t="str"/>
      <x:c r="K290" s="28" t="str"/>
      <x:c r="L290" s="16" t="str"/>
      <x:c r="M290" s="28" t="str">
        <x:f>IF(D290="","",D290+21)</x:f>
      </x:c>
      <x:c r="N290" s="16" t="str">
        <x:f>IF(M290="","",M290-TODAY())</x:f>
      </x:c>
      <x:c r="O290" s="16" t="str">
        <x:f>IF(A290="","",IF(OR(H290="Encerrado",H290="Descartado"),"Encerrado",IF(OR(H290="Sintomático",H290="Suspeito",H290="Confirmado",H290="Óbito"),"Requer avaliação/ação",IF(N290&lt;0,"Prazo concluído","Em monitoramento"))))</x:f>
      </x:c>
      <x:c r="P290" s="16" t="str">
        <x:f>IF(A290="","",IF(OR(E290="Manipulação do corpo",E290="Velório/funeral",E290="Sepultamento",E290="Limpeza/desinfecção"),"Pós-óbito",IF(OR(E290="Transporte do paciente",E290="Cuidado direto",E290="Contato com fluidos",E290="Serviço de saúde",E290="Laboratório"),"Exposição direta/assistencial","Exposição comunitária/outro")))</x:f>
      </x:c>
      <x:c r="Q290" s="16" t="str">
        <x:f>IF(A290="","",IF(P290="Pós-óbito","Sim","Não"))</x:f>
      </x:c>
    </x:row>
    <x:row r="291">
      <x:c r="A291" s="16" t="str"/>
      <x:c r="B291" s="16" t="str"/>
      <x:c r="C291" s="16" t="str"/>
      <x:c r="D291" s="28" t="str"/>
      <x:c r="E291" s="16" t="str"/>
      <x:c r="F291" s="16" t="str"/>
      <x:c r="G291" s="16" t="str"/>
      <x:c r="H291" s="16" t="str"/>
      <x:c r="I291" s="28" t="str"/>
      <x:c r="J291" s="28" t="str"/>
      <x:c r="K291" s="28" t="str"/>
      <x:c r="L291" s="16" t="str"/>
      <x:c r="M291" s="28" t="str">
        <x:f>IF(D291="","",D291+21)</x:f>
      </x:c>
      <x:c r="N291" s="16" t="str">
        <x:f>IF(M291="","",M291-TODAY())</x:f>
      </x:c>
      <x:c r="O291" s="16" t="str">
        <x:f>IF(A291="","",IF(OR(H291="Encerrado",H291="Descartado"),"Encerrado",IF(OR(H291="Sintomático",H291="Suspeito",H291="Confirmado",H291="Óbito"),"Requer avaliação/ação",IF(N291&lt;0,"Prazo concluído","Em monitoramento"))))</x:f>
      </x:c>
      <x:c r="P291" s="16" t="str">
        <x:f>IF(A291="","",IF(OR(E291="Manipulação do corpo",E291="Velório/funeral",E291="Sepultamento",E291="Limpeza/desinfecção"),"Pós-óbito",IF(OR(E291="Transporte do paciente",E291="Cuidado direto",E291="Contato com fluidos",E291="Serviço de saúde",E291="Laboratório"),"Exposição direta/assistencial","Exposição comunitária/outro")))</x:f>
      </x:c>
      <x:c r="Q291" s="16" t="str">
        <x:f>IF(A291="","",IF(P291="Pós-óbito","Sim","Não"))</x:f>
      </x:c>
    </x:row>
    <x:row r="292">
      <x:c r="A292" s="16" t="str"/>
      <x:c r="B292" s="16" t="str"/>
      <x:c r="C292" s="16" t="str"/>
      <x:c r="D292" s="28" t="str"/>
      <x:c r="E292" s="16" t="str"/>
      <x:c r="F292" s="16" t="str"/>
      <x:c r="G292" s="16" t="str"/>
      <x:c r="H292" s="16" t="str"/>
      <x:c r="I292" s="28" t="str"/>
      <x:c r="J292" s="28" t="str"/>
      <x:c r="K292" s="28" t="str"/>
      <x:c r="L292" s="16" t="str"/>
      <x:c r="M292" s="28" t="str">
        <x:f>IF(D292="","",D292+21)</x:f>
      </x:c>
      <x:c r="N292" s="16" t="str">
        <x:f>IF(M292="","",M292-TODAY())</x:f>
      </x:c>
      <x:c r="O292" s="16" t="str">
        <x:f>IF(A292="","",IF(OR(H292="Encerrado",H292="Descartado"),"Encerrado",IF(OR(H292="Sintomático",H292="Suspeito",H292="Confirmado",H292="Óbito"),"Requer avaliação/ação",IF(N292&lt;0,"Prazo concluído","Em monitoramento"))))</x:f>
      </x:c>
      <x:c r="P292" s="16" t="str">
        <x:f>IF(A292="","",IF(OR(E292="Manipulação do corpo",E292="Velório/funeral",E292="Sepultamento",E292="Limpeza/desinfecção"),"Pós-óbito",IF(OR(E292="Transporte do paciente",E292="Cuidado direto",E292="Contato com fluidos",E292="Serviço de saúde",E292="Laboratório"),"Exposição direta/assistencial","Exposição comunitária/outro")))</x:f>
      </x:c>
      <x:c r="Q292" s="16" t="str">
        <x:f>IF(A292="","",IF(P292="Pós-óbito","Sim","Não"))</x:f>
      </x:c>
    </x:row>
    <x:row r="293">
      <x:c r="A293" s="16" t="str"/>
      <x:c r="B293" s="16" t="str"/>
      <x:c r="C293" s="16" t="str"/>
      <x:c r="D293" s="28" t="str"/>
      <x:c r="E293" s="16" t="str"/>
      <x:c r="F293" s="16" t="str"/>
      <x:c r="G293" s="16" t="str"/>
      <x:c r="H293" s="16" t="str"/>
      <x:c r="I293" s="28" t="str"/>
      <x:c r="J293" s="28" t="str"/>
      <x:c r="K293" s="28" t="str"/>
      <x:c r="L293" s="16" t="str"/>
      <x:c r="M293" s="28" t="str">
        <x:f>IF(D293="","",D293+21)</x:f>
      </x:c>
      <x:c r="N293" s="16" t="str">
        <x:f>IF(M293="","",M293-TODAY())</x:f>
      </x:c>
      <x:c r="O293" s="16" t="str">
        <x:f>IF(A293="","",IF(OR(H293="Encerrado",H293="Descartado"),"Encerrado",IF(OR(H293="Sintomático",H293="Suspeito",H293="Confirmado",H293="Óbito"),"Requer avaliação/ação",IF(N293&lt;0,"Prazo concluído","Em monitoramento"))))</x:f>
      </x:c>
      <x:c r="P293" s="16" t="str">
        <x:f>IF(A293="","",IF(OR(E293="Manipulação do corpo",E293="Velório/funeral",E293="Sepultamento",E293="Limpeza/desinfecção"),"Pós-óbito",IF(OR(E293="Transporte do paciente",E293="Cuidado direto",E293="Contato com fluidos",E293="Serviço de saúde",E293="Laboratório"),"Exposição direta/assistencial","Exposição comunitária/outro")))</x:f>
      </x:c>
      <x:c r="Q293" s="16" t="str">
        <x:f>IF(A293="","",IF(P293="Pós-óbito","Sim","Não"))</x:f>
      </x:c>
    </x:row>
    <x:row r="294">
      <x:c r="A294" s="16" t="str"/>
      <x:c r="B294" s="16" t="str"/>
      <x:c r="C294" s="16" t="str"/>
      <x:c r="D294" s="28" t="str"/>
      <x:c r="E294" s="16" t="str"/>
      <x:c r="F294" s="16" t="str"/>
      <x:c r="G294" s="16" t="str"/>
      <x:c r="H294" s="16" t="str"/>
      <x:c r="I294" s="28" t="str"/>
      <x:c r="J294" s="28" t="str"/>
      <x:c r="K294" s="28" t="str"/>
      <x:c r="L294" s="16" t="str"/>
      <x:c r="M294" s="28" t="str">
        <x:f>IF(D294="","",D294+21)</x:f>
      </x:c>
      <x:c r="N294" s="16" t="str">
        <x:f>IF(M294="","",M294-TODAY())</x:f>
      </x:c>
      <x:c r="O294" s="16" t="str">
        <x:f>IF(A294="","",IF(OR(H294="Encerrado",H294="Descartado"),"Encerrado",IF(OR(H294="Sintomático",H294="Suspeito",H294="Confirmado",H294="Óbito"),"Requer avaliação/ação",IF(N294&lt;0,"Prazo concluído","Em monitoramento"))))</x:f>
      </x:c>
      <x:c r="P294" s="16" t="str">
        <x:f>IF(A294="","",IF(OR(E294="Manipulação do corpo",E294="Velório/funeral",E294="Sepultamento",E294="Limpeza/desinfecção"),"Pós-óbito",IF(OR(E294="Transporte do paciente",E294="Cuidado direto",E294="Contato com fluidos",E294="Serviço de saúde",E294="Laboratório"),"Exposição direta/assistencial","Exposição comunitária/outro")))</x:f>
      </x:c>
      <x:c r="Q294" s="16" t="str">
        <x:f>IF(A294="","",IF(P294="Pós-óbito","Sim","Não"))</x:f>
      </x:c>
    </x:row>
    <x:row r="295">
      <x:c r="A295" s="16" t="str"/>
      <x:c r="B295" s="16" t="str"/>
      <x:c r="C295" s="16" t="str"/>
      <x:c r="D295" s="28" t="str"/>
      <x:c r="E295" s="16" t="str"/>
      <x:c r="F295" s="16" t="str"/>
      <x:c r="G295" s="16" t="str"/>
      <x:c r="H295" s="16" t="str"/>
      <x:c r="I295" s="28" t="str"/>
      <x:c r="J295" s="28" t="str"/>
      <x:c r="K295" s="28" t="str"/>
      <x:c r="L295" s="16" t="str"/>
      <x:c r="M295" s="28" t="str">
        <x:f>IF(D295="","",D295+21)</x:f>
      </x:c>
      <x:c r="N295" s="16" t="str">
        <x:f>IF(M295="","",M295-TODAY())</x:f>
      </x:c>
      <x:c r="O295" s="16" t="str">
        <x:f>IF(A295="","",IF(OR(H295="Encerrado",H295="Descartado"),"Encerrado",IF(OR(H295="Sintomático",H295="Suspeito",H295="Confirmado",H295="Óbito"),"Requer avaliação/ação",IF(N295&lt;0,"Prazo concluído","Em monitoramento"))))</x:f>
      </x:c>
      <x:c r="P295" s="16" t="str">
        <x:f>IF(A295="","",IF(OR(E295="Manipulação do corpo",E295="Velório/funeral",E295="Sepultamento",E295="Limpeza/desinfecção"),"Pós-óbito",IF(OR(E295="Transporte do paciente",E295="Cuidado direto",E295="Contato com fluidos",E295="Serviço de saúde",E295="Laboratório"),"Exposição direta/assistencial","Exposição comunitária/outro")))</x:f>
      </x:c>
      <x:c r="Q295" s="16" t="str">
        <x:f>IF(A295="","",IF(P295="Pós-óbito","Sim","Não"))</x:f>
      </x:c>
    </x:row>
    <x:row r="296">
      <x:c r="A296" s="16" t="str"/>
      <x:c r="B296" s="16" t="str"/>
      <x:c r="C296" s="16" t="str"/>
      <x:c r="D296" s="28" t="str"/>
      <x:c r="E296" s="16" t="str"/>
      <x:c r="F296" s="16" t="str"/>
      <x:c r="G296" s="16" t="str"/>
      <x:c r="H296" s="16" t="str"/>
      <x:c r="I296" s="28" t="str"/>
      <x:c r="J296" s="28" t="str"/>
      <x:c r="K296" s="28" t="str"/>
      <x:c r="L296" s="16" t="str"/>
      <x:c r="M296" s="28" t="str">
        <x:f>IF(D296="","",D296+21)</x:f>
      </x:c>
      <x:c r="N296" s="16" t="str">
        <x:f>IF(M296="","",M296-TODAY())</x:f>
      </x:c>
      <x:c r="O296" s="16" t="str">
        <x:f>IF(A296="","",IF(OR(H296="Encerrado",H296="Descartado"),"Encerrado",IF(OR(H296="Sintomático",H296="Suspeito",H296="Confirmado",H296="Óbito"),"Requer avaliação/ação",IF(N296&lt;0,"Prazo concluído","Em monitoramento"))))</x:f>
      </x:c>
      <x:c r="P296" s="16" t="str">
        <x:f>IF(A296="","",IF(OR(E296="Manipulação do corpo",E296="Velório/funeral",E296="Sepultamento",E296="Limpeza/desinfecção"),"Pós-óbito",IF(OR(E296="Transporte do paciente",E296="Cuidado direto",E296="Contato com fluidos",E296="Serviço de saúde",E296="Laboratório"),"Exposição direta/assistencial","Exposição comunitária/outro")))</x:f>
      </x:c>
      <x:c r="Q296" s="16" t="str">
        <x:f>IF(A296="","",IF(P296="Pós-óbito","Sim","Não"))</x:f>
      </x:c>
    </x:row>
    <x:row r="297">
      <x:c r="A297" s="16" t="str"/>
      <x:c r="B297" s="16" t="str"/>
      <x:c r="C297" s="16" t="str"/>
      <x:c r="D297" s="28" t="str"/>
      <x:c r="E297" s="16" t="str"/>
      <x:c r="F297" s="16" t="str"/>
      <x:c r="G297" s="16" t="str"/>
      <x:c r="H297" s="16" t="str"/>
      <x:c r="I297" s="28" t="str"/>
      <x:c r="J297" s="28" t="str"/>
      <x:c r="K297" s="28" t="str"/>
      <x:c r="L297" s="16" t="str"/>
      <x:c r="M297" s="28" t="str">
        <x:f>IF(D297="","",D297+21)</x:f>
      </x:c>
      <x:c r="N297" s="16" t="str">
        <x:f>IF(M297="","",M297-TODAY())</x:f>
      </x:c>
      <x:c r="O297" s="16" t="str">
        <x:f>IF(A297="","",IF(OR(H297="Encerrado",H297="Descartado"),"Encerrado",IF(OR(H297="Sintomático",H297="Suspeito",H297="Confirmado",H297="Óbito"),"Requer avaliação/ação",IF(N297&lt;0,"Prazo concluído","Em monitoramento"))))</x:f>
      </x:c>
      <x:c r="P297" s="16" t="str">
        <x:f>IF(A297="","",IF(OR(E297="Manipulação do corpo",E297="Velório/funeral",E297="Sepultamento",E297="Limpeza/desinfecção"),"Pós-óbito",IF(OR(E297="Transporte do paciente",E297="Cuidado direto",E297="Contato com fluidos",E297="Serviço de saúde",E297="Laboratório"),"Exposição direta/assistencial","Exposição comunitária/outro")))</x:f>
      </x:c>
      <x:c r="Q297" s="16" t="str">
        <x:f>IF(A297="","",IF(P297="Pós-óbito","Sim","Não"))</x:f>
      </x:c>
    </x:row>
    <x:row r="298">
      <x:c r="A298" s="16" t="str"/>
      <x:c r="B298" s="16" t="str"/>
      <x:c r="C298" s="16" t="str"/>
      <x:c r="D298" s="28" t="str"/>
      <x:c r="E298" s="16" t="str"/>
      <x:c r="F298" s="16" t="str"/>
      <x:c r="G298" s="16" t="str"/>
      <x:c r="H298" s="16" t="str"/>
      <x:c r="I298" s="28" t="str"/>
      <x:c r="J298" s="28" t="str"/>
      <x:c r="K298" s="28" t="str"/>
      <x:c r="L298" s="16" t="str"/>
      <x:c r="M298" s="28" t="str">
        <x:f>IF(D298="","",D298+21)</x:f>
      </x:c>
      <x:c r="N298" s="16" t="str">
        <x:f>IF(M298="","",M298-TODAY())</x:f>
      </x:c>
      <x:c r="O298" s="16" t="str">
        <x:f>IF(A298="","",IF(OR(H298="Encerrado",H298="Descartado"),"Encerrado",IF(OR(H298="Sintomático",H298="Suspeito",H298="Confirmado",H298="Óbito"),"Requer avaliação/ação",IF(N298&lt;0,"Prazo concluído","Em monitoramento"))))</x:f>
      </x:c>
      <x:c r="P298" s="16" t="str">
        <x:f>IF(A298="","",IF(OR(E298="Manipulação do corpo",E298="Velório/funeral",E298="Sepultamento",E298="Limpeza/desinfecção"),"Pós-óbito",IF(OR(E298="Transporte do paciente",E298="Cuidado direto",E298="Contato com fluidos",E298="Serviço de saúde",E298="Laboratório"),"Exposição direta/assistencial","Exposição comunitária/outro")))</x:f>
      </x:c>
      <x:c r="Q298" s="16" t="str">
        <x:f>IF(A298="","",IF(P298="Pós-óbito","Sim","Não"))</x:f>
      </x:c>
    </x:row>
    <x:row r="299">
      <x:c r="A299" s="16" t="str"/>
      <x:c r="B299" s="16" t="str"/>
      <x:c r="C299" s="16" t="str"/>
      <x:c r="D299" s="28" t="str"/>
      <x:c r="E299" s="16" t="str"/>
      <x:c r="F299" s="16" t="str"/>
      <x:c r="G299" s="16" t="str"/>
      <x:c r="H299" s="16" t="str"/>
      <x:c r="I299" s="28" t="str"/>
      <x:c r="J299" s="28" t="str"/>
      <x:c r="K299" s="28" t="str"/>
      <x:c r="L299" s="16" t="str"/>
      <x:c r="M299" s="28" t="str">
        <x:f>IF(D299="","",D299+21)</x:f>
      </x:c>
      <x:c r="N299" s="16" t="str">
        <x:f>IF(M299="","",M299-TODAY())</x:f>
      </x:c>
      <x:c r="O299" s="16" t="str">
        <x:f>IF(A299="","",IF(OR(H299="Encerrado",H299="Descartado"),"Encerrado",IF(OR(H299="Sintomático",H299="Suspeito",H299="Confirmado",H299="Óbito"),"Requer avaliação/ação",IF(N299&lt;0,"Prazo concluído","Em monitoramento"))))</x:f>
      </x:c>
      <x:c r="P299" s="16" t="str">
        <x:f>IF(A299="","",IF(OR(E299="Manipulação do corpo",E299="Velório/funeral",E299="Sepultamento",E299="Limpeza/desinfecção"),"Pós-óbito",IF(OR(E299="Transporte do paciente",E299="Cuidado direto",E299="Contato com fluidos",E299="Serviço de saúde",E299="Laboratório"),"Exposição direta/assistencial","Exposição comunitária/outro")))</x:f>
      </x:c>
      <x:c r="Q299" s="16" t="str">
        <x:f>IF(A299="","",IF(P299="Pós-óbito","Sim","Não"))</x:f>
      </x:c>
    </x:row>
    <x:row r="300">
      <x:c r="A300" s="16" t="str"/>
      <x:c r="B300" s="16" t="str"/>
      <x:c r="C300" s="16" t="str"/>
      <x:c r="D300" s="28" t="str"/>
      <x:c r="E300" s="16" t="str"/>
      <x:c r="F300" s="16" t="str"/>
      <x:c r="G300" s="16" t="str"/>
      <x:c r="H300" s="16" t="str"/>
      <x:c r="I300" s="28" t="str"/>
      <x:c r="J300" s="28" t="str"/>
      <x:c r="K300" s="28" t="str"/>
      <x:c r="L300" s="16" t="str"/>
      <x:c r="M300" s="28" t="str">
        <x:f>IF(D300="","",D300+21)</x:f>
      </x:c>
      <x:c r="N300" s="16" t="str">
        <x:f>IF(M300="","",M300-TODAY())</x:f>
      </x:c>
      <x:c r="O300" s="16" t="str">
        <x:f>IF(A300="","",IF(OR(H300="Encerrado",H300="Descartado"),"Encerrado",IF(OR(H300="Sintomático",H300="Suspeito",H300="Confirmado",H300="Óbito"),"Requer avaliação/ação",IF(N300&lt;0,"Prazo concluído","Em monitoramento"))))</x:f>
      </x:c>
      <x:c r="P300" s="16" t="str">
        <x:f>IF(A300="","",IF(OR(E300="Manipulação do corpo",E300="Velório/funeral",E300="Sepultamento",E300="Limpeza/desinfecção"),"Pós-óbito",IF(OR(E300="Transporte do paciente",E300="Cuidado direto",E300="Contato com fluidos",E300="Serviço de saúde",E300="Laboratório"),"Exposição direta/assistencial","Exposição comunitária/outro")))</x:f>
      </x:c>
      <x:c r="Q300" s="16" t="str">
        <x:f>IF(A300="","",IF(P300="Pós-óbito","Sim","Não"))</x:f>
      </x:c>
    </x:row>
    <x:row r="301">
      <x:c r="A301" s="16" t="str"/>
      <x:c r="B301" s="16" t="str"/>
      <x:c r="C301" s="16" t="str"/>
      <x:c r="D301" s="28" t="str"/>
      <x:c r="E301" s="16" t="str"/>
      <x:c r="F301" s="16" t="str"/>
      <x:c r="G301" s="16" t="str"/>
      <x:c r="H301" s="16" t="str"/>
      <x:c r="I301" s="28" t="str"/>
      <x:c r="J301" s="28" t="str"/>
      <x:c r="K301" s="28" t="str"/>
      <x:c r="L301" s="16" t="str"/>
      <x:c r="M301" s="28" t="str">
        <x:f>IF(D301="","",D301+21)</x:f>
      </x:c>
      <x:c r="N301" s="16" t="str">
        <x:f>IF(M301="","",M301-TODAY())</x:f>
      </x:c>
      <x:c r="O301" s="16" t="str">
        <x:f>IF(A301="","",IF(OR(H301="Encerrado",H301="Descartado"),"Encerrado",IF(OR(H301="Sintomático",H301="Suspeito",H301="Confirmado",H301="Óbito"),"Requer avaliação/ação",IF(N301&lt;0,"Prazo concluído","Em monitoramento"))))</x:f>
      </x:c>
      <x:c r="P301" s="16" t="str">
        <x:f>IF(A301="","",IF(OR(E301="Manipulação do corpo",E301="Velório/funeral",E301="Sepultamento",E301="Limpeza/desinfecção"),"Pós-óbito",IF(OR(E301="Transporte do paciente",E301="Cuidado direto",E301="Contato com fluidos",E301="Serviço de saúde",E301="Laboratório"),"Exposição direta/assistencial","Exposição comunitária/outro")))</x:f>
      </x:c>
      <x:c r="Q301" s="16" t="str">
        <x:f>IF(A301="","",IF(P301="Pós-óbito","Sim","Não"))</x:f>
      </x:c>
    </x:row>
    <x:row r="302">
      <x:c r="A302" s="16" t="str"/>
      <x:c r="B302" s="16" t="str"/>
      <x:c r="C302" s="16" t="str"/>
      <x:c r="D302" s="28" t="str"/>
      <x:c r="E302" s="16" t="str"/>
      <x:c r="F302" s="16" t="str"/>
      <x:c r="G302" s="16" t="str"/>
      <x:c r="H302" s="16" t="str"/>
      <x:c r="I302" s="28" t="str"/>
      <x:c r="J302" s="28" t="str"/>
      <x:c r="K302" s="28" t="str"/>
      <x:c r="L302" s="16" t="str"/>
      <x:c r="M302" s="28" t="str">
        <x:f>IF(D302="","",D302+21)</x:f>
      </x:c>
      <x:c r="N302" s="16" t="str">
        <x:f>IF(M302="","",M302-TODAY())</x:f>
      </x:c>
      <x:c r="O302" s="16" t="str">
        <x:f>IF(A302="","",IF(OR(H302="Encerrado",H302="Descartado"),"Encerrado",IF(OR(H302="Sintomático",H302="Suspeito",H302="Confirmado",H302="Óbito"),"Requer avaliação/ação",IF(N302&lt;0,"Prazo concluído","Em monitoramento"))))</x:f>
      </x:c>
      <x:c r="P302" s="16" t="str">
        <x:f>IF(A302="","",IF(OR(E302="Manipulação do corpo",E302="Velório/funeral",E302="Sepultamento",E302="Limpeza/desinfecção"),"Pós-óbito",IF(OR(E302="Transporte do paciente",E302="Cuidado direto",E302="Contato com fluidos",E302="Serviço de saúde",E302="Laboratório"),"Exposição direta/assistencial","Exposição comunitária/outro")))</x:f>
      </x:c>
      <x:c r="Q302" s="16" t="str">
        <x:f>IF(A302="","",IF(P302="Pós-óbito","Sim","Não"))</x:f>
      </x:c>
    </x:row>
    <x:row r="303">
      <x:c r="A303" s="16" t="str"/>
      <x:c r="B303" s="16" t="str"/>
      <x:c r="C303" s="16" t="str"/>
      <x:c r="D303" s="28" t="str"/>
      <x:c r="E303" s="16" t="str"/>
      <x:c r="F303" s="16" t="str"/>
      <x:c r="G303" s="16" t="str"/>
      <x:c r="H303" s="16" t="str"/>
      <x:c r="I303" s="28" t="str"/>
      <x:c r="J303" s="28" t="str"/>
      <x:c r="K303" s="28" t="str"/>
      <x:c r="L303" s="16" t="str"/>
      <x:c r="M303" s="28" t="str">
        <x:f>IF(D303="","",D303+21)</x:f>
      </x:c>
      <x:c r="N303" s="16" t="str">
        <x:f>IF(M303="","",M303-TODAY())</x:f>
      </x:c>
      <x:c r="O303" s="16" t="str">
        <x:f>IF(A303="","",IF(OR(H303="Encerrado",H303="Descartado"),"Encerrado",IF(OR(H303="Sintomático",H303="Suspeito",H303="Confirmado",H303="Óbito"),"Requer avaliação/ação",IF(N303&lt;0,"Prazo concluído","Em monitoramento"))))</x:f>
      </x:c>
      <x:c r="P303" s="16" t="str">
        <x:f>IF(A303="","",IF(OR(E303="Manipulação do corpo",E303="Velório/funeral",E303="Sepultamento",E303="Limpeza/desinfecção"),"Pós-óbito",IF(OR(E303="Transporte do paciente",E303="Cuidado direto",E303="Contato com fluidos",E303="Serviço de saúde",E303="Laboratório"),"Exposição direta/assistencial","Exposição comunitária/outro")))</x:f>
      </x:c>
      <x:c r="Q303" s="16" t="str">
        <x:f>IF(A303="","",IF(P303="Pós-óbito","Sim","Não"))</x:f>
      </x:c>
    </x:row>
    <x:row r="304">
      <x:c r="A304" s="16" t="str"/>
      <x:c r="B304" s="16" t="str"/>
      <x:c r="C304" s="16" t="str"/>
      <x:c r="D304" s="28" t="str"/>
      <x:c r="E304" s="16" t="str"/>
      <x:c r="F304" s="16" t="str"/>
      <x:c r="G304" s="16" t="str"/>
      <x:c r="H304" s="16" t="str"/>
      <x:c r="I304" s="28" t="str"/>
      <x:c r="J304" s="28" t="str"/>
      <x:c r="K304" s="28" t="str"/>
      <x:c r="L304" s="16" t="str"/>
      <x:c r="M304" s="28" t="str">
        <x:f>IF(D304="","",D304+21)</x:f>
      </x:c>
      <x:c r="N304" s="16" t="str">
        <x:f>IF(M304="","",M304-TODAY())</x:f>
      </x:c>
      <x:c r="O304" s="16" t="str">
        <x:f>IF(A304="","",IF(OR(H304="Encerrado",H304="Descartado"),"Encerrado",IF(OR(H304="Sintomático",H304="Suspeito",H304="Confirmado",H304="Óbito"),"Requer avaliação/ação",IF(N304&lt;0,"Prazo concluído","Em monitoramento"))))</x:f>
      </x:c>
      <x:c r="P304" s="16" t="str">
        <x:f>IF(A304="","",IF(OR(E304="Manipulação do corpo",E304="Velório/funeral",E304="Sepultamento",E304="Limpeza/desinfecção"),"Pós-óbito",IF(OR(E304="Transporte do paciente",E304="Cuidado direto",E304="Contato com fluidos",E304="Serviço de saúde",E304="Laboratório"),"Exposição direta/assistencial","Exposição comunitária/outro")))</x:f>
      </x:c>
      <x:c r="Q304" s="16" t="str">
        <x:f>IF(A304="","",IF(P304="Pós-óbito","Sim","Não"))</x:f>
      </x:c>
    </x:row>
    <x:row r="305">
      <x:c r="A305" s="16" t="str"/>
      <x:c r="B305" s="16" t="str"/>
      <x:c r="C305" s="16" t="str"/>
      <x:c r="D305" s="28" t="str"/>
      <x:c r="E305" s="16" t="str"/>
      <x:c r="F305" s="16" t="str"/>
      <x:c r="G305" s="16" t="str"/>
      <x:c r="H305" s="16" t="str"/>
      <x:c r="I305" s="28" t="str"/>
      <x:c r="J305" s="28" t="str"/>
      <x:c r="K305" s="28" t="str"/>
      <x:c r="L305" s="16" t="str"/>
      <x:c r="M305" s="28" t="str">
        <x:f>IF(D305="","",D305+21)</x:f>
      </x:c>
      <x:c r="N305" s="16" t="str">
        <x:f>IF(M305="","",M305-TODAY())</x:f>
      </x:c>
      <x:c r="O305" s="16" t="str">
        <x:f>IF(A305="","",IF(OR(H305="Encerrado",H305="Descartado"),"Encerrado",IF(OR(H305="Sintomático",H305="Suspeito",H305="Confirmado",H305="Óbito"),"Requer avaliação/ação",IF(N305&lt;0,"Prazo concluído","Em monitoramento"))))</x:f>
      </x:c>
      <x:c r="P305" s="16" t="str">
        <x:f>IF(A305="","",IF(OR(E305="Manipulação do corpo",E305="Velório/funeral",E305="Sepultamento",E305="Limpeza/desinfecção"),"Pós-óbito",IF(OR(E305="Transporte do paciente",E305="Cuidado direto",E305="Contato com fluidos",E305="Serviço de saúde",E305="Laboratório"),"Exposição direta/assistencial","Exposição comunitária/outro")))</x:f>
      </x:c>
      <x:c r="Q305" s="16" t="str">
        <x:f>IF(A305="","",IF(P305="Pós-óbito","Sim","Não"))</x:f>
      </x:c>
    </x:row>
    <x:row r="306">
      <x:c r="A306" s="16" t="str"/>
      <x:c r="B306" s="16" t="str"/>
      <x:c r="C306" s="16" t="str"/>
      <x:c r="D306" s="28" t="str"/>
      <x:c r="E306" s="16" t="str"/>
      <x:c r="F306" s="16" t="str"/>
      <x:c r="G306" s="16" t="str"/>
      <x:c r="H306" s="16" t="str"/>
      <x:c r="I306" s="28" t="str"/>
      <x:c r="J306" s="28" t="str"/>
      <x:c r="K306" s="28" t="str"/>
      <x:c r="L306" s="16" t="str"/>
      <x:c r="M306" s="28" t="str">
        <x:f>IF(D306="","",D306+21)</x:f>
      </x:c>
      <x:c r="N306" s="16" t="str">
        <x:f>IF(M306="","",M306-TODAY())</x:f>
      </x:c>
      <x:c r="O306" s="16" t="str">
        <x:f>IF(A306="","",IF(OR(H306="Encerrado",H306="Descartado"),"Encerrado",IF(OR(H306="Sintomático",H306="Suspeito",H306="Confirmado",H306="Óbito"),"Requer avaliação/ação",IF(N306&lt;0,"Prazo concluído","Em monitoramento"))))</x:f>
      </x:c>
      <x:c r="P306" s="16" t="str">
        <x:f>IF(A306="","",IF(OR(E306="Manipulação do corpo",E306="Velório/funeral",E306="Sepultamento",E306="Limpeza/desinfecção"),"Pós-óbito",IF(OR(E306="Transporte do paciente",E306="Cuidado direto",E306="Contato com fluidos",E306="Serviço de saúde",E306="Laboratório"),"Exposição direta/assistencial","Exposição comunitária/outro")))</x:f>
      </x:c>
      <x:c r="Q306" s="16" t="str">
        <x:f>IF(A306="","",IF(P306="Pós-óbito","Sim","Não"))</x:f>
      </x:c>
    </x:row>
    <x:row r="307">
      <x:c r="A307" s="16" t="str"/>
      <x:c r="B307" s="16" t="str"/>
      <x:c r="C307" s="16" t="str"/>
      <x:c r="D307" s="28" t="str"/>
      <x:c r="E307" s="16" t="str"/>
      <x:c r="F307" s="16" t="str"/>
      <x:c r="G307" s="16" t="str"/>
      <x:c r="H307" s="16" t="str"/>
      <x:c r="I307" s="28" t="str"/>
      <x:c r="J307" s="28" t="str"/>
      <x:c r="K307" s="28" t="str"/>
      <x:c r="L307" s="16" t="str"/>
      <x:c r="M307" s="28" t="str">
        <x:f>IF(D307="","",D307+21)</x:f>
      </x:c>
      <x:c r="N307" s="16" t="str">
        <x:f>IF(M307="","",M307-TODAY())</x:f>
      </x:c>
      <x:c r="O307" s="16" t="str">
        <x:f>IF(A307="","",IF(OR(H307="Encerrado",H307="Descartado"),"Encerrado",IF(OR(H307="Sintomático",H307="Suspeito",H307="Confirmado",H307="Óbito"),"Requer avaliação/ação",IF(N307&lt;0,"Prazo concluído","Em monitoramento"))))</x:f>
      </x:c>
      <x:c r="P307" s="16" t="str">
        <x:f>IF(A307="","",IF(OR(E307="Manipulação do corpo",E307="Velório/funeral",E307="Sepultamento",E307="Limpeza/desinfecção"),"Pós-óbito",IF(OR(E307="Transporte do paciente",E307="Cuidado direto",E307="Contato com fluidos",E307="Serviço de saúde",E307="Laboratório"),"Exposição direta/assistencial","Exposição comunitária/outro")))</x:f>
      </x:c>
      <x:c r="Q307" s="16" t="str">
        <x:f>IF(A307="","",IF(P307="Pós-óbito","Sim","Não"))</x:f>
      </x:c>
    </x:row>
    <x:row r="308">
      <x:c r="A308" s="16" t="str"/>
      <x:c r="B308" s="16" t="str"/>
      <x:c r="C308" s="16" t="str"/>
      <x:c r="D308" s="28" t="str"/>
      <x:c r="E308" s="16" t="str"/>
      <x:c r="F308" s="16" t="str"/>
      <x:c r="G308" s="16" t="str"/>
      <x:c r="H308" s="16" t="str"/>
      <x:c r="I308" s="28" t="str"/>
      <x:c r="J308" s="28" t="str"/>
      <x:c r="K308" s="28" t="str"/>
      <x:c r="L308" s="16" t="str"/>
      <x:c r="M308" s="28" t="str">
        <x:f>IF(D308="","",D308+21)</x:f>
      </x:c>
      <x:c r="N308" s="16" t="str">
        <x:f>IF(M308="","",M308-TODAY())</x:f>
      </x:c>
      <x:c r="O308" s="16" t="str">
        <x:f>IF(A308="","",IF(OR(H308="Encerrado",H308="Descartado"),"Encerrado",IF(OR(H308="Sintomático",H308="Suspeito",H308="Confirmado",H308="Óbito"),"Requer avaliação/ação",IF(N308&lt;0,"Prazo concluído","Em monitoramento"))))</x:f>
      </x:c>
      <x:c r="P308" s="16" t="str">
        <x:f>IF(A308="","",IF(OR(E308="Manipulação do corpo",E308="Velório/funeral",E308="Sepultamento",E308="Limpeza/desinfecção"),"Pós-óbito",IF(OR(E308="Transporte do paciente",E308="Cuidado direto",E308="Contato com fluidos",E308="Serviço de saúde",E308="Laboratório"),"Exposição direta/assistencial","Exposição comunitária/outro")))</x:f>
      </x:c>
      <x:c r="Q308" s="16" t="str">
        <x:f>IF(A308="","",IF(P308="Pós-óbito","Sim","Não"))</x:f>
      </x:c>
    </x:row>
    <x:row r="309">
      <x:c r="A309" s="16" t="str"/>
      <x:c r="B309" s="16" t="str"/>
      <x:c r="C309" s="16" t="str"/>
      <x:c r="D309" s="28" t="str"/>
      <x:c r="E309" s="16" t="str"/>
      <x:c r="F309" s="16" t="str"/>
      <x:c r="G309" s="16" t="str"/>
      <x:c r="H309" s="16" t="str"/>
      <x:c r="I309" s="28" t="str"/>
      <x:c r="J309" s="28" t="str"/>
      <x:c r="K309" s="28" t="str"/>
      <x:c r="L309" s="16" t="str"/>
      <x:c r="M309" s="28" t="str">
        <x:f>IF(D309="","",D309+21)</x:f>
      </x:c>
      <x:c r="N309" s="16" t="str">
        <x:f>IF(M309="","",M309-TODAY())</x:f>
      </x:c>
      <x:c r="O309" s="16" t="str">
        <x:f>IF(A309="","",IF(OR(H309="Encerrado",H309="Descartado"),"Encerrado",IF(OR(H309="Sintomático",H309="Suspeito",H309="Confirmado",H309="Óbito"),"Requer avaliação/ação",IF(N309&lt;0,"Prazo concluído","Em monitoramento"))))</x:f>
      </x:c>
      <x:c r="P309" s="16" t="str">
        <x:f>IF(A309="","",IF(OR(E309="Manipulação do corpo",E309="Velório/funeral",E309="Sepultamento",E309="Limpeza/desinfecção"),"Pós-óbito",IF(OR(E309="Transporte do paciente",E309="Cuidado direto",E309="Contato com fluidos",E309="Serviço de saúde",E309="Laboratório"),"Exposição direta/assistencial","Exposição comunitária/outro")))</x:f>
      </x:c>
      <x:c r="Q309" s="16" t="str">
        <x:f>IF(A309="","",IF(P309="Pós-óbito","Sim","Não"))</x:f>
      </x:c>
    </x:row>
    <x:row r="310">
      <x:c r="A310" s="16" t="str"/>
      <x:c r="B310" s="16" t="str"/>
      <x:c r="C310" s="16" t="str"/>
      <x:c r="D310" s="28" t="str"/>
      <x:c r="E310" s="16" t="str"/>
      <x:c r="F310" s="16" t="str"/>
      <x:c r="G310" s="16" t="str"/>
      <x:c r="H310" s="16" t="str"/>
      <x:c r="I310" s="28" t="str"/>
      <x:c r="J310" s="28" t="str"/>
      <x:c r="K310" s="28" t="str"/>
      <x:c r="L310" s="16" t="str"/>
      <x:c r="M310" s="28" t="str">
        <x:f>IF(D310="","",D310+21)</x:f>
      </x:c>
      <x:c r="N310" s="16" t="str">
        <x:f>IF(M310="","",M310-TODAY())</x:f>
      </x:c>
      <x:c r="O310" s="16" t="str">
        <x:f>IF(A310="","",IF(OR(H310="Encerrado",H310="Descartado"),"Encerrado",IF(OR(H310="Sintomático",H310="Suspeito",H310="Confirmado",H310="Óbito"),"Requer avaliação/ação",IF(N310&lt;0,"Prazo concluído","Em monitoramento"))))</x:f>
      </x:c>
      <x:c r="P310" s="16" t="str">
        <x:f>IF(A310="","",IF(OR(E310="Manipulação do corpo",E310="Velório/funeral",E310="Sepultamento",E310="Limpeza/desinfecção"),"Pós-óbito",IF(OR(E310="Transporte do paciente",E310="Cuidado direto",E310="Contato com fluidos",E310="Serviço de saúde",E310="Laboratório"),"Exposição direta/assistencial","Exposição comunitária/outro")))</x:f>
      </x:c>
      <x:c r="Q310" s="16" t="str">
        <x:f>IF(A310="","",IF(P310="Pós-óbito","Sim","Não"))</x:f>
      </x:c>
    </x:row>
    <x:row r="311">
      <x:c r="A311" s="16" t="str"/>
      <x:c r="B311" s="16" t="str"/>
      <x:c r="C311" s="16" t="str"/>
      <x:c r="D311" s="28" t="str"/>
      <x:c r="E311" s="16" t="str"/>
      <x:c r="F311" s="16" t="str"/>
      <x:c r="G311" s="16" t="str"/>
      <x:c r="H311" s="16" t="str"/>
      <x:c r="I311" s="28" t="str"/>
      <x:c r="J311" s="28" t="str"/>
      <x:c r="K311" s="28" t="str"/>
      <x:c r="L311" s="16" t="str"/>
      <x:c r="M311" s="28" t="str">
        <x:f>IF(D311="","",D311+21)</x:f>
      </x:c>
      <x:c r="N311" s="16" t="str">
        <x:f>IF(M311="","",M311-TODAY())</x:f>
      </x:c>
      <x:c r="O311" s="16" t="str">
        <x:f>IF(A311="","",IF(OR(H311="Encerrado",H311="Descartado"),"Encerrado",IF(OR(H311="Sintomático",H311="Suspeito",H311="Confirmado",H311="Óbito"),"Requer avaliação/ação",IF(N311&lt;0,"Prazo concluído","Em monitoramento"))))</x:f>
      </x:c>
      <x:c r="P311" s="16" t="str">
        <x:f>IF(A311="","",IF(OR(E311="Manipulação do corpo",E311="Velório/funeral",E311="Sepultamento",E311="Limpeza/desinfecção"),"Pós-óbito",IF(OR(E311="Transporte do paciente",E311="Cuidado direto",E311="Contato com fluidos",E311="Serviço de saúde",E311="Laboratório"),"Exposição direta/assistencial","Exposição comunitária/outro")))</x:f>
      </x:c>
      <x:c r="Q311" s="16" t="str">
        <x:f>IF(A311="","",IF(P311="Pós-óbito","Sim","Não"))</x:f>
      </x:c>
    </x:row>
    <x:row r="312">
      <x:c r="A312" s="16" t="str"/>
      <x:c r="B312" s="16" t="str"/>
      <x:c r="C312" s="16" t="str"/>
      <x:c r="D312" s="28" t="str"/>
      <x:c r="E312" s="16" t="str"/>
      <x:c r="F312" s="16" t="str"/>
      <x:c r="G312" s="16" t="str"/>
      <x:c r="H312" s="16" t="str"/>
      <x:c r="I312" s="28" t="str"/>
      <x:c r="J312" s="28" t="str"/>
      <x:c r="K312" s="28" t="str"/>
      <x:c r="L312" s="16" t="str"/>
      <x:c r="M312" s="28" t="str">
        <x:f>IF(D312="","",D312+21)</x:f>
      </x:c>
      <x:c r="N312" s="16" t="str">
        <x:f>IF(M312="","",M312-TODAY())</x:f>
      </x:c>
      <x:c r="O312" s="16" t="str">
        <x:f>IF(A312="","",IF(OR(H312="Encerrado",H312="Descartado"),"Encerrado",IF(OR(H312="Sintomático",H312="Suspeito",H312="Confirmado",H312="Óbito"),"Requer avaliação/ação",IF(N312&lt;0,"Prazo concluído","Em monitoramento"))))</x:f>
      </x:c>
      <x:c r="P312" s="16" t="str">
        <x:f>IF(A312="","",IF(OR(E312="Manipulação do corpo",E312="Velório/funeral",E312="Sepultamento",E312="Limpeza/desinfecção"),"Pós-óbito",IF(OR(E312="Transporte do paciente",E312="Cuidado direto",E312="Contato com fluidos",E312="Serviço de saúde",E312="Laboratório"),"Exposição direta/assistencial","Exposição comunitária/outro")))</x:f>
      </x:c>
      <x:c r="Q312" s="16" t="str">
        <x:f>IF(A312="","",IF(P312="Pós-óbito","Sim","Não"))</x:f>
      </x:c>
    </x:row>
    <x:row r="313">
      <x:c r="A313" s="16" t="str"/>
      <x:c r="B313" s="16" t="str"/>
      <x:c r="C313" s="16" t="str"/>
      <x:c r="D313" s="28" t="str"/>
      <x:c r="E313" s="16" t="str"/>
      <x:c r="F313" s="16" t="str"/>
      <x:c r="G313" s="16" t="str"/>
      <x:c r="H313" s="16" t="str"/>
      <x:c r="I313" s="28" t="str"/>
      <x:c r="J313" s="28" t="str"/>
      <x:c r="K313" s="28" t="str"/>
      <x:c r="L313" s="16" t="str"/>
      <x:c r="M313" s="28" t="str">
        <x:f>IF(D313="","",D313+21)</x:f>
      </x:c>
      <x:c r="N313" s="16" t="str">
        <x:f>IF(M313="","",M313-TODAY())</x:f>
      </x:c>
      <x:c r="O313" s="16" t="str">
        <x:f>IF(A313="","",IF(OR(H313="Encerrado",H313="Descartado"),"Encerrado",IF(OR(H313="Sintomático",H313="Suspeito",H313="Confirmado",H313="Óbito"),"Requer avaliação/ação",IF(N313&lt;0,"Prazo concluído","Em monitoramento"))))</x:f>
      </x:c>
      <x:c r="P313" s="16" t="str">
        <x:f>IF(A313="","",IF(OR(E313="Manipulação do corpo",E313="Velório/funeral",E313="Sepultamento",E313="Limpeza/desinfecção"),"Pós-óbito",IF(OR(E313="Transporte do paciente",E313="Cuidado direto",E313="Contato com fluidos",E313="Serviço de saúde",E313="Laboratório"),"Exposição direta/assistencial","Exposição comunitária/outro")))</x:f>
      </x:c>
      <x:c r="Q313" s="16" t="str">
        <x:f>IF(A313="","",IF(P313="Pós-óbito","Sim","Não"))</x:f>
      </x:c>
    </x:row>
    <x:row r="314">
      <x:c r="A314" s="16" t="str"/>
      <x:c r="B314" s="16" t="str"/>
      <x:c r="C314" s="16" t="str"/>
      <x:c r="D314" s="28" t="str"/>
      <x:c r="E314" s="16" t="str"/>
      <x:c r="F314" s="16" t="str"/>
      <x:c r="G314" s="16" t="str"/>
      <x:c r="H314" s="16" t="str"/>
      <x:c r="I314" s="28" t="str"/>
      <x:c r="J314" s="28" t="str"/>
      <x:c r="K314" s="28" t="str"/>
      <x:c r="L314" s="16" t="str"/>
      <x:c r="M314" s="28" t="str">
        <x:f>IF(D314="","",D314+21)</x:f>
      </x:c>
      <x:c r="N314" s="16" t="str">
        <x:f>IF(M314="","",M314-TODAY())</x:f>
      </x:c>
      <x:c r="O314" s="16" t="str">
        <x:f>IF(A314="","",IF(OR(H314="Encerrado",H314="Descartado"),"Encerrado",IF(OR(H314="Sintomático",H314="Suspeito",H314="Confirmado",H314="Óbito"),"Requer avaliação/ação",IF(N314&lt;0,"Prazo concluído","Em monitoramento"))))</x:f>
      </x:c>
      <x:c r="P314" s="16" t="str">
        <x:f>IF(A314="","",IF(OR(E314="Manipulação do corpo",E314="Velório/funeral",E314="Sepultamento",E314="Limpeza/desinfecção"),"Pós-óbito",IF(OR(E314="Transporte do paciente",E314="Cuidado direto",E314="Contato com fluidos",E314="Serviço de saúde",E314="Laboratório"),"Exposição direta/assistencial","Exposição comunitária/outro")))</x:f>
      </x:c>
      <x:c r="Q314" s="16" t="str">
        <x:f>IF(A314="","",IF(P314="Pós-óbito","Sim","Não"))</x:f>
      </x:c>
    </x:row>
    <x:row r="315">
      <x:c r="A315" s="16" t="str"/>
      <x:c r="B315" s="16" t="str"/>
      <x:c r="C315" s="16" t="str"/>
      <x:c r="D315" s="28" t="str"/>
      <x:c r="E315" s="16" t="str"/>
      <x:c r="F315" s="16" t="str"/>
      <x:c r="G315" s="16" t="str"/>
      <x:c r="H315" s="16" t="str"/>
      <x:c r="I315" s="28" t="str"/>
      <x:c r="J315" s="28" t="str"/>
      <x:c r="K315" s="28" t="str"/>
      <x:c r="L315" s="16" t="str"/>
      <x:c r="M315" s="28" t="str">
        <x:f>IF(D315="","",D315+21)</x:f>
      </x:c>
      <x:c r="N315" s="16" t="str">
        <x:f>IF(M315="","",M315-TODAY())</x:f>
      </x:c>
      <x:c r="O315" s="16" t="str">
        <x:f>IF(A315="","",IF(OR(H315="Encerrado",H315="Descartado"),"Encerrado",IF(OR(H315="Sintomático",H315="Suspeito",H315="Confirmado",H315="Óbito"),"Requer avaliação/ação",IF(N315&lt;0,"Prazo concluído","Em monitoramento"))))</x:f>
      </x:c>
      <x:c r="P315" s="16" t="str">
        <x:f>IF(A315="","",IF(OR(E315="Manipulação do corpo",E315="Velório/funeral",E315="Sepultamento",E315="Limpeza/desinfecção"),"Pós-óbito",IF(OR(E315="Transporte do paciente",E315="Cuidado direto",E315="Contato com fluidos",E315="Serviço de saúde",E315="Laboratório"),"Exposição direta/assistencial","Exposição comunitária/outro")))</x:f>
      </x:c>
      <x:c r="Q315" s="16" t="str">
        <x:f>IF(A315="","",IF(P315="Pós-óbito","Sim","Não"))</x:f>
      </x:c>
    </x:row>
    <x:row r="316">
      <x:c r="A316" s="16" t="str"/>
      <x:c r="B316" s="16" t="str"/>
      <x:c r="C316" s="16" t="str"/>
      <x:c r="D316" s="28" t="str"/>
      <x:c r="E316" s="16" t="str"/>
      <x:c r="F316" s="16" t="str"/>
      <x:c r="G316" s="16" t="str"/>
      <x:c r="H316" s="16" t="str"/>
      <x:c r="I316" s="28" t="str"/>
      <x:c r="J316" s="28" t="str"/>
      <x:c r="K316" s="28" t="str"/>
      <x:c r="L316" s="16" t="str"/>
      <x:c r="M316" s="28" t="str">
        <x:f>IF(D316="","",D316+21)</x:f>
      </x:c>
      <x:c r="N316" s="16" t="str">
        <x:f>IF(M316="","",M316-TODAY())</x:f>
      </x:c>
      <x:c r="O316" s="16" t="str">
        <x:f>IF(A316="","",IF(OR(H316="Encerrado",H316="Descartado"),"Encerrado",IF(OR(H316="Sintomático",H316="Suspeito",H316="Confirmado",H316="Óbito"),"Requer avaliação/ação",IF(N316&lt;0,"Prazo concluído","Em monitoramento"))))</x:f>
      </x:c>
      <x:c r="P316" s="16" t="str">
        <x:f>IF(A316="","",IF(OR(E316="Manipulação do corpo",E316="Velório/funeral",E316="Sepultamento",E316="Limpeza/desinfecção"),"Pós-óbito",IF(OR(E316="Transporte do paciente",E316="Cuidado direto",E316="Contato com fluidos",E316="Serviço de saúde",E316="Laboratório"),"Exposição direta/assistencial","Exposição comunitária/outro")))</x:f>
      </x:c>
      <x:c r="Q316" s="16" t="str">
        <x:f>IF(A316="","",IF(P316="Pós-óbito","Sim","Não"))</x:f>
      </x:c>
    </x:row>
    <x:row r="317">
      <x:c r="A317" s="16" t="str"/>
      <x:c r="B317" s="16" t="str"/>
      <x:c r="C317" s="16" t="str"/>
      <x:c r="D317" s="28" t="str"/>
      <x:c r="E317" s="16" t="str"/>
      <x:c r="F317" s="16" t="str"/>
      <x:c r="G317" s="16" t="str"/>
      <x:c r="H317" s="16" t="str"/>
      <x:c r="I317" s="28" t="str"/>
      <x:c r="J317" s="28" t="str"/>
      <x:c r="K317" s="28" t="str"/>
      <x:c r="L317" s="16" t="str"/>
      <x:c r="M317" s="28" t="str">
        <x:f>IF(D317="","",D317+21)</x:f>
      </x:c>
      <x:c r="N317" s="16" t="str">
        <x:f>IF(M317="","",M317-TODAY())</x:f>
      </x:c>
      <x:c r="O317" s="16" t="str">
        <x:f>IF(A317="","",IF(OR(H317="Encerrado",H317="Descartado"),"Encerrado",IF(OR(H317="Sintomático",H317="Suspeito",H317="Confirmado",H317="Óbito"),"Requer avaliação/ação",IF(N317&lt;0,"Prazo concluído","Em monitoramento"))))</x:f>
      </x:c>
      <x:c r="P317" s="16" t="str">
        <x:f>IF(A317="","",IF(OR(E317="Manipulação do corpo",E317="Velório/funeral",E317="Sepultamento",E317="Limpeza/desinfecção"),"Pós-óbito",IF(OR(E317="Transporte do paciente",E317="Cuidado direto",E317="Contato com fluidos",E317="Serviço de saúde",E317="Laboratório"),"Exposição direta/assistencial","Exposição comunitária/outro")))</x:f>
      </x:c>
      <x:c r="Q317" s="16" t="str">
        <x:f>IF(A317="","",IF(P317="Pós-óbito","Sim","Não"))</x:f>
      </x:c>
    </x:row>
    <x:row r="318">
      <x:c r="A318" s="16" t="str"/>
      <x:c r="B318" s="16" t="str"/>
      <x:c r="C318" s="16" t="str"/>
      <x:c r="D318" s="28" t="str"/>
      <x:c r="E318" s="16" t="str"/>
      <x:c r="F318" s="16" t="str"/>
      <x:c r="G318" s="16" t="str"/>
      <x:c r="H318" s="16" t="str"/>
      <x:c r="I318" s="28" t="str"/>
      <x:c r="J318" s="28" t="str"/>
      <x:c r="K318" s="28" t="str"/>
      <x:c r="L318" s="16" t="str"/>
      <x:c r="M318" s="28" t="str">
        <x:f>IF(D318="","",D318+21)</x:f>
      </x:c>
      <x:c r="N318" s="16" t="str">
        <x:f>IF(M318="","",M318-TODAY())</x:f>
      </x:c>
      <x:c r="O318" s="16" t="str">
        <x:f>IF(A318="","",IF(OR(H318="Encerrado",H318="Descartado"),"Encerrado",IF(OR(H318="Sintomático",H318="Suspeito",H318="Confirmado",H318="Óbito"),"Requer avaliação/ação",IF(N318&lt;0,"Prazo concluído","Em monitoramento"))))</x:f>
      </x:c>
      <x:c r="P318" s="16" t="str">
        <x:f>IF(A318="","",IF(OR(E318="Manipulação do corpo",E318="Velório/funeral",E318="Sepultamento",E318="Limpeza/desinfecção"),"Pós-óbito",IF(OR(E318="Transporte do paciente",E318="Cuidado direto",E318="Contato com fluidos",E318="Serviço de saúde",E318="Laboratório"),"Exposição direta/assistencial","Exposição comunitária/outro")))</x:f>
      </x:c>
      <x:c r="Q318" s="16" t="str">
        <x:f>IF(A318="","",IF(P318="Pós-óbito","Sim","Não"))</x:f>
      </x:c>
    </x:row>
    <x:row r="319">
      <x:c r="A319" s="16" t="str"/>
      <x:c r="B319" s="16" t="str"/>
      <x:c r="C319" s="16" t="str"/>
      <x:c r="D319" s="28" t="str"/>
      <x:c r="E319" s="16" t="str"/>
      <x:c r="F319" s="16" t="str"/>
      <x:c r="G319" s="16" t="str"/>
      <x:c r="H319" s="16" t="str"/>
      <x:c r="I319" s="28" t="str"/>
      <x:c r="J319" s="28" t="str"/>
      <x:c r="K319" s="28" t="str"/>
      <x:c r="L319" s="16" t="str"/>
      <x:c r="M319" s="28" t="str">
        <x:f>IF(D319="","",D319+21)</x:f>
      </x:c>
      <x:c r="N319" s="16" t="str">
        <x:f>IF(M319="","",M319-TODAY())</x:f>
      </x:c>
      <x:c r="O319" s="16" t="str">
        <x:f>IF(A319="","",IF(OR(H319="Encerrado",H319="Descartado"),"Encerrado",IF(OR(H319="Sintomático",H319="Suspeito",H319="Confirmado",H319="Óbito"),"Requer avaliação/ação",IF(N319&lt;0,"Prazo concluído","Em monitoramento"))))</x:f>
      </x:c>
      <x:c r="P319" s="16" t="str">
        <x:f>IF(A319="","",IF(OR(E319="Manipulação do corpo",E319="Velório/funeral",E319="Sepultamento",E319="Limpeza/desinfecção"),"Pós-óbito",IF(OR(E319="Transporte do paciente",E319="Cuidado direto",E319="Contato com fluidos",E319="Serviço de saúde",E319="Laboratório"),"Exposição direta/assistencial","Exposição comunitária/outro")))</x:f>
      </x:c>
      <x:c r="Q319" s="16" t="str">
        <x:f>IF(A319="","",IF(P319="Pós-óbito","Sim","Não"))</x:f>
      </x:c>
    </x:row>
    <x:row r="320">
      <x:c r="A320" s="16" t="str"/>
      <x:c r="B320" s="16" t="str"/>
      <x:c r="C320" s="16" t="str"/>
      <x:c r="D320" s="28" t="str"/>
      <x:c r="E320" s="16" t="str"/>
      <x:c r="F320" s="16" t="str"/>
      <x:c r="G320" s="16" t="str"/>
      <x:c r="H320" s="16" t="str"/>
      <x:c r="I320" s="28" t="str"/>
      <x:c r="J320" s="28" t="str"/>
      <x:c r="K320" s="28" t="str"/>
      <x:c r="L320" s="16" t="str"/>
      <x:c r="M320" s="28" t="str">
        <x:f>IF(D320="","",D320+21)</x:f>
      </x:c>
      <x:c r="N320" s="16" t="str">
        <x:f>IF(M320="","",M320-TODAY())</x:f>
      </x:c>
      <x:c r="O320" s="16" t="str">
        <x:f>IF(A320="","",IF(OR(H320="Encerrado",H320="Descartado"),"Encerrado",IF(OR(H320="Sintomático",H320="Suspeito",H320="Confirmado",H320="Óbito"),"Requer avaliação/ação",IF(N320&lt;0,"Prazo concluído","Em monitoramento"))))</x:f>
      </x:c>
      <x:c r="P320" s="16" t="str">
        <x:f>IF(A320="","",IF(OR(E320="Manipulação do corpo",E320="Velório/funeral",E320="Sepultamento",E320="Limpeza/desinfecção"),"Pós-óbito",IF(OR(E320="Transporte do paciente",E320="Cuidado direto",E320="Contato com fluidos",E320="Serviço de saúde",E320="Laboratório"),"Exposição direta/assistencial","Exposição comunitária/outro")))</x:f>
      </x:c>
      <x:c r="Q320" s="16" t="str">
        <x:f>IF(A320="","",IF(P320="Pós-óbito","Sim","Não"))</x:f>
      </x:c>
    </x:row>
    <x:row r="321">
      <x:c r="A321" s="16" t="str"/>
      <x:c r="B321" s="16" t="str"/>
      <x:c r="C321" s="16" t="str"/>
      <x:c r="D321" s="28" t="str"/>
      <x:c r="E321" s="16" t="str"/>
      <x:c r="F321" s="16" t="str"/>
      <x:c r="G321" s="16" t="str"/>
      <x:c r="H321" s="16" t="str"/>
      <x:c r="I321" s="28" t="str"/>
      <x:c r="J321" s="28" t="str"/>
      <x:c r="K321" s="28" t="str"/>
      <x:c r="L321" s="16" t="str"/>
      <x:c r="M321" s="28" t="str">
        <x:f>IF(D321="","",D321+21)</x:f>
      </x:c>
      <x:c r="N321" s="16" t="str">
        <x:f>IF(M321="","",M321-TODAY())</x:f>
      </x:c>
      <x:c r="O321" s="16" t="str">
        <x:f>IF(A321="","",IF(OR(H321="Encerrado",H321="Descartado"),"Encerrado",IF(OR(H321="Sintomático",H321="Suspeito",H321="Confirmado",H321="Óbito"),"Requer avaliação/ação",IF(N321&lt;0,"Prazo concluído","Em monitoramento"))))</x:f>
      </x:c>
      <x:c r="P321" s="16" t="str">
        <x:f>IF(A321="","",IF(OR(E321="Manipulação do corpo",E321="Velório/funeral",E321="Sepultamento",E321="Limpeza/desinfecção"),"Pós-óbito",IF(OR(E321="Transporte do paciente",E321="Cuidado direto",E321="Contato com fluidos",E321="Serviço de saúde",E321="Laboratório"),"Exposição direta/assistencial","Exposição comunitária/outro")))</x:f>
      </x:c>
      <x:c r="Q321" s="16" t="str">
        <x:f>IF(A321="","",IF(P321="Pós-óbito","Sim","Não"))</x:f>
      </x:c>
    </x:row>
    <x:row r="322">
      <x:c r="A322" s="16" t="str"/>
      <x:c r="B322" s="16" t="str"/>
      <x:c r="C322" s="16" t="str"/>
      <x:c r="D322" s="28" t="str"/>
      <x:c r="E322" s="16" t="str"/>
      <x:c r="F322" s="16" t="str"/>
      <x:c r="G322" s="16" t="str"/>
      <x:c r="H322" s="16" t="str"/>
      <x:c r="I322" s="28" t="str"/>
      <x:c r="J322" s="28" t="str"/>
      <x:c r="K322" s="28" t="str"/>
      <x:c r="L322" s="16" t="str"/>
      <x:c r="M322" s="28" t="str">
        <x:f>IF(D322="","",D322+21)</x:f>
      </x:c>
      <x:c r="N322" s="16" t="str">
        <x:f>IF(M322="","",M322-TODAY())</x:f>
      </x:c>
      <x:c r="O322" s="16" t="str">
        <x:f>IF(A322="","",IF(OR(H322="Encerrado",H322="Descartado"),"Encerrado",IF(OR(H322="Sintomático",H322="Suspeito",H322="Confirmado",H322="Óbito"),"Requer avaliação/ação",IF(N322&lt;0,"Prazo concluído","Em monitoramento"))))</x:f>
      </x:c>
      <x:c r="P322" s="16" t="str">
        <x:f>IF(A322="","",IF(OR(E322="Manipulação do corpo",E322="Velório/funeral",E322="Sepultamento",E322="Limpeza/desinfecção"),"Pós-óbito",IF(OR(E322="Transporte do paciente",E322="Cuidado direto",E322="Contato com fluidos",E322="Serviço de saúde",E322="Laboratório"),"Exposição direta/assistencial","Exposição comunitária/outro")))</x:f>
      </x:c>
      <x:c r="Q322" s="16" t="str">
        <x:f>IF(A322="","",IF(P322="Pós-óbito","Sim","Não"))</x:f>
      </x:c>
    </x:row>
    <x:row r="323">
      <x:c r="A323" s="16" t="str"/>
      <x:c r="B323" s="16" t="str"/>
      <x:c r="C323" s="16" t="str"/>
      <x:c r="D323" s="28" t="str"/>
      <x:c r="E323" s="16" t="str"/>
      <x:c r="F323" s="16" t="str"/>
      <x:c r="G323" s="16" t="str"/>
      <x:c r="H323" s="16" t="str"/>
      <x:c r="I323" s="28" t="str"/>
      <x:c r="J323" s="28" t="str"/>
      <x:c r="K323" s="28" t="str"/>
      <x:c r="L323" s="16" t="str"/>
      <x:c r="M323" s="28" t="str">
        <x:f>IF(D323="","",D323+21)</x:f>
      </x:c>
      <x:c r="N323" s="16" t="str">
        <x:f>IF(M323="","",M323-TODAY())</x:f>
      </x:c>
      <x:c r="O323" s="16" t="str">
        <x:f>IF(A323="","",IF(OR(H323="Encerrado",H323="Descartado"),"Encerrado",IF(OR(H323="Sintomático",H323="Suspeito",H323="Confirmado",H323="Óbito"),"Requer avaliação/ação",IF(N323&lt;0,"Prazo concluído","Em monitoramento"))))</x:f>
      </x:c>
      <x:c r="P323" s="16" t="str">
        <x:f>IF(A323="","",IF(OR(E323="Manipulação do corpo",E323="Velório/funeral",E323="Sepultamento",E323="Limpeza/desinfecção"),"Pós-óbito",IF(OR(E323="Transporte do paciente",E323="Cuidado direto",E323="Contato com fluidos",E323="Serviço de saúde",E323="Laboratório"),"Exposição direta/assistencial","Exposição comunitária/outro")))</x:f>
      </x:c>
      <x:c r="Q323" s="16" t="str">
        <x:f>IF(A323="","",IF(P323="Pós-óbito","Sim","Não"))</x:f>
      </x:c>
    </x:row>
    <x:row r="324">
      <x:c r="A324" s="16" t="str"/>
      <x:c r="B324" s="16" t="str"/>
      <x:c r="C324" s="16" t="str"/>
      <x:c r="D324" s="28" t="str"/>
      <x:c r="E324" s="16" t="str"/>
      <x:c r="F324" s="16" t="str"/>
      <x:c r="G324" s="16" t="str"/>
      <x:c r="H324" s="16" t="str"/>
      <x:c r="I324" s="28" t="str"/>
      <x:c r="J324" s="28" t="str"/>
      <x:c r="K324" s="28" t="str"/>
      <x:c r="L324" s="16" t="str"/>
      <x:c r="M324" s="28" t="str">
        <x:f>IF(D324="","",D324+21)</x:f>
      </x:c>
      <x:c r="N324" s="16" t="str">
        <x:f>IF(M324="","",M324-TODAY())</x:f>
      </x:c>
      <x:c r="O324" s="16" t="str">
        <x:f>IF(A324="","",IF(OR(H324="Encerrado",H324="Descartado"),"Encerrado",IF(OR(H324="Sintomático",H324="Suspeito",H324="Confirmado",H324="Óbito"),"Requer avaliação/ação",IF(N324&lt;0,"Prazo concluído","Em monitoramento"))))</x:f>
      </x:c>
      <x:c r="P324" s="16" t="str">
        <x:f>IF(A324="","",IF(OR(E324="Manipulação do corpo",E324="Velório/funeral",E324="Sepultamento",E324="Limpeza/desinfecção"),"Pós-óbito",IF(OR(E324="Transporte do paciente",E324="Cuidado direto",E324="Contato com fluidos",E324="Serviço de saúde",E324="Laboratório"),"Exposição direta/assistencial","Exposição comunitária/outro")))</x:f>
      </x:c>
      <x:c r="Q324" s="16" t="str">
        <x:f>IF(A324="","",IF(P324="Pós-óbito","Sim","Não"))</x:f>
      </x:c>
    </x:row>
    <x:row r="325">
      <x:c r="A325" s="16" t="str"/>
      <x:c r="B325" s="16" t="str"/>
      <x:c r="C325" s="16" t="str"/>
      <x:c r="D325" s="28" t="str"/>
      <x:c r="E325" s="16" t="str"/>
      <x:c r="F325" s="16" t="str"/>
      <x:c r="G325" s="16" t="str"/>
      <x:c r="H325" s="16" t="str"/>
      <x:c r="I325" s="28" t="str"/>
      <x:c r="J325" s="28" t="str"/>
      <x:c r="K325" s="28" t="str"/>
      <x:c r="L325" s="16" t="str"/>
      <x:c r="M325" s="28" t="str">
        <x:f>IF(D325="","",D325+21)</x:f>
      </x:c>
      <x:c r="N325" s="16" t="str">
        <x:f>IF(M325="","",M325-TODAY())</x:f>
      </x:c>
      <x:c r="O325" s="16" t="str">
        <x:f>IF(A325="","",IF(OR(H325="Encerrado",H325="Descartado"),"Encerrado",IF(OR(H325="Sintomático",H325="Suspeito",H325="Confirmado",H325="Óbito"),"Requer avaliação/ação",IF(N325&lt;0,"Prazo concluído","Em monitoramento"))))</x:f>
      </x:c>
      <x:c r="P325" s="16" t="str">
        <x:f>IF(A325="","",IF(OR(E325="Manipulação do corpo",E325="Velório/funeral",E325="Sepultamento",E325="Limpeza/desinfecção"),"Pós-óbito",IF(OR(E325="Transporte do paciente",E325="Cuidado direto",E325="Contato com fluidos",E325="Serviço de saúde",E325="Laboratório"),"Exposição direta/assistencial","Exposição comunitária/outro")))</x:f>
      </x:c>
      <x:c r="Q325" s="16" t="str">
        <x:f>IF(A325="","",IF(P325="Pós-óbito","Sim","Não"))</x:f>
      </x:c>
    </x:row>
    <x:row r="326">
      <x:c r="A326" s="16" t="str"/>
      <x:c r="B326" s="16" t="str"/>
      <x:c r="C326" s="16" t="str"/>
      <x:c r="D326" s="28" t="str"/>
      <x:c r="E326" s="16" t="str"/>
      <x:c r="F326" s="16" t="str"/>
      <x:c r="G326" s="16" t="str"/>
      <x:c r="H326" s="16" t="str"/>
      <x:c r="I326" s="28" t="str"/>
      <x:c r="J326" s="28" t="str"/>
      <x:c r="K326" s="28" t="str"/>
      <x:c r="L326" s="16" t="str"/>
      <x:c r="M326" s="28" t="str">
        <x:f>IF(D326="","",D326+21)</x:f>
      </x:c>
      <x:c r="N326" s="16" t="str">
        <x:f>IF(M326="","",M326-TODAY())</x:f>
      </x:c>
      <x:c r="O326" s="16" t="str">
        <x:f>IF(A326="","",IF(OR(H326="Encerrado",H326="Descartado"),"Encerrado",IF(OR(H326="Sintomático",H326="Suspeito",H326="Confirmado",H326="Óbito"),"Requer avaliação/ação",IF(N326&lt;0,"Prazo concluído","Em monitoramento"))))</x:f>
      </x:c>
      <x:c r="P326" s="16" t="str">
        <x:f>IF(A326="","",IF(OR(E326="Manipulação do corpo",E326="Velório/funeral",E326="Sepultamento",E326="Limpeza/desinfecção"),"Pós-óbito",IF(OR(E326="Transporte do paciente",E326="Cuidado direto",E326="Contato com fluidos",E326="Serviço de saúde",E326="Laboratório"),"Exposição direta/assistencial","Exposição comunitária/outro")))</x:f>
      </x:c>
      <x:c r="Q326" s="16" t="str">
        <x:f>IF(A326="","",IF(P326="Pós-óbito","Sim","Não"))</x:f>
      </x:c>
    </x:row>
    <x:row r="327">
      <x:c r="A327" s="16" t="str"/>
      <x:c r="B327" s="16" t="str"/>
      <x:c r="C327" s="16" t="str"/>
      <x:c r="D327" s="28" t="str"/>
      <x:c r="E327" s="16" t="str"/>
      <x:c r="F327" s="16" t="str"/>
      <x:c r="G327" s="16" t="str"/>
      <x:c r="H327" s="16" t="str"/>
      <x:c r="I327" s="28" t="str"/>
      <x:c r="J327" s="28" t="str"/>
      <x:c r="K327" s="28" t="str"/>
      <x:c r="L327" s="16" t="str"/>
      <x:c r="M327" s="28" t="str">
        <x:f>IF(D327="","",D327+21)</x:f>
      </x:c>
      <x:c r="N327" s="16" t="str">
        <x:f>IF(M327="","",M327-TODAY())</x:f>
      </x:c>
      <x:c r="O327" s="16" t="str">
        <x:f>IF(A327="","",IF(OR(H327="Encerrado",H327="Descartado"),"Encerrado",IF(OR(H327="Sintomático",H327="Suspeito",H327="Confirmado",H327="Óbito"),"Requer avaliação/ação",IF(N327&lt;0,"Prazo concluído","Em monitoramento"))))</x:f>
      </x:c>
      <x:c r="P327" s="16" t="str">
        <x:f>IF(A327="","",IF(OR(E327="Manipulação do corpo",E327="Velório/funeral",E327="Sepultamento",E327="Limpeza/desinfecção"),"Pós-óbito",IF(OR(E327="Transporte do paciente",E327="Cuidado direto",E327="Contato com fluidos",E327="Serviço de saúde",E327="Laboratório"),"Exposição direta/assistencial","Exposição comunitária/outro")))</x:f>
      </x:c>
      <x:c r="Q327" s="16" t="str">
        <x:f>IF(A327="","",IF(P327="Pós-óbito","Sim","Não"))</x:f>
      </x:c>
    </x:row>
    <x:row r="328">
      <x:c r="A328" s="16" t="str"/>
      <x:c r="B328" s="16" t="str"/>
      <x:c r="C328" s="16" t="str"/>
      <x:c r="D328" s="28" t="str"/>
      <x:c r="E328" s="16" t="str"/>
      <x:c r="F328" s="16" t="str"/>
      <x:c r="G328" s="16" t="str"/>
      <x:c r="H328" s="16" t="str"/>
      <x:c r="I328" s="28" t="str"/>
      <x:c r="J328" s="28" t="str"/>
      <x:c r="K328" s="28" t="str"/>
      <x:c r="L328" s="16" t="str"/>
      <x:c r="M328" s="28" t="str">
        <x:f>IF(D328="","",D328+21)</x:f>
      </x:c>
      <x:c r="N328" s="16" t="str">
        <x:f>IF(M328="","",M328-TODAY())</x:f>
      </x:c>
      <x:c r="O328" s="16" t="str">
        <x:f>IF(A328="","",IF(OR(H328="Encerrado",H328="Descartado"),"Encerrado",IF(OR(H328="Sintomático",H328="Suspeito",H328="Confirmado",H328="Óbito"),"Requer avaliação/ação",IF(N328&lt;0,"Prazo concluído","Em monitoramento"))))</x:f>
      </x:c>
      <x:c r="P328" s="16" t="str">
        <x:f>IF(A328="","",IF(OR(E328="Manipulação do corpo",E328="Velório/funeral",E328="Sepultamento",E328="Limpeza/desinfecção"),"Pós-óbito",IF(OR(E328="Transporte do paciente",E328="Cuidado direto",E328="Contato com fluidos",E328="Serviço de saúde",E328="Laboratório"),"Exposição direta/assistencial","Exposição comunitária/outro")))</x:f>
      </x:c>
      <x:c r="Q328" s="16" t="str">
        <x:f>IF(A328="","",IF(P328="Pós-óbito","Sim","Não"))</x:f>
      </x:c>
    </x:row>
    <x:row r="329">
      <x:c r="A329" s="16" t="str"/>
      <x:c r="B329" s="16" t="str"/>
      <x:c r="C329" s="16" t="str"/>
      <x:c r="D329" s="28" t="str"/>
      <x:c r="E329" s="16" t="str"/>
      <x:c r="F329" s="16" t="str"/>
      <x:c r="G329" s="16" t="str"/>
      <x:c r="H329" s="16" t="str"/>
      <x:c r="I329" s="28" t="str"/>
      <x:c r="J329" s="28" t="str"/>
      <x:c r="K329" s="28" t="str"/>
      <x:c r="L329" s="16" t="str"/>
      <x:c r="M329" s="28" t="str">
        <x:f>IF(D329="","",D329+21)</x:f>
      </x:c>
      <x:c r="N329" s="16" t="str">
        <x:f>IF(M329="","",M329-TODAY())</x:f>
      </x:c>
      <x:c r="O329" s="16" t="str">
        <x:f>IF(A329="","",IF(OR(H329="Encerrado",H329="Descartado"),"Encerrado",IF(OR(H329="Sintomático",H329="Suspeito",H329="Confirmado",H329="Óbito"),"Requer avaliação/ação",IF(N329&lt;0,"Prazo concluído","Em monitoramento"))))</x:f>
      </x:c>
      <x:c r="P329" s="16" t="str">
        <x:f>IF(A329="","",IF(OR(E329="Manipulação do corpo",E329="Velório/funeral",E329="Sepultamento",E329="Limpeza/desinfecção"),"Pós-óbito",IF(OR(E329="Transporte do paciente",E329="Cuidado direto",E329="Contato com fluidos",E329="Serviço de saúde",E329="Laboratório"),"Exposição direta/assistencial","Exposição comunitária/outro")))</x:f>
      </x:c>
      <x:c r="Q329" s="16" t="str">
        <x:f>IF(A329="","",IF(P329="Pós-óbito","Sim","Não"))</x:f>
      </x:c>
    </x:row>
    <x:row r="330">
      <x:c r="A330" s="16" t="str"/>
      <x:c r="B330" s="16" t="str"/>
      <x:c r="C330" s="16" t="str"/>
      <x:c r="D330" s="28" t="str"/>
      <x:c r="E330" s="16" t="str"/>
      <x:c r="F330" s="16" t="str"/>
      <x:c r="G330" s="16" t="str"/>
      <x:c r="H330" s="16" t="str"/>
      <x:c r="I330" s="28" t="str"/>
      <x:c r="J330" s="28" t="str"/>
      <x:c r="K330" s="28" t="str"/>
      <x:c r="L330" s="16" t="str"/>
      <x:c r="M330" s="28" t="str">
        <x:f>IF(D330="","",D330+21)</x:f>
      </x:c>
      <x:c r="N330" s="16" t="str">
        <x:f>IF(M330="","",M330-TODAY())</x:f>
      </x:c>
      <x:c r="O330" s="16" t="str">
        <x:f>IF(A330="","",IF(OR(H330="Encerrado",H330="Descartado"),"Encerrado",IF(OR(H330="Sintomático",H330="Suspeito",H330="Confirmado",H330="Óbito"),"Requer avaliação/ação",IF(N330&lt;0,"Prazo concluído","Em monitoramento"))))</x:f>
      </x:c>
      <x:c r="P330" s="16" t="str">
        <x:f>IF(A330="","",IF(OR(E330="Manipulação do corpo",E330="Velório/funeral",E330="Sepultamento",E330="Limpeza/desinfecção"),"Pós-óbito",IF(OR(E330="Transporte do paciente",E330="Cuidado direto",E330="Contato com fluidos",E330="Serviço de saúde",E330="Laboratório"),"Exposição direta/assistencial","Exposição comunitária/outro")))</x:f>
      </x:c>
      <x:c r="Q330" s="16" t="str">
        <x:f>IF(A330="","",IF(P330="Pós-óbito","Sim","Não"))</x:f>
      </x:c>
    </x:row>
    <x:row r="331">
      <x:c r="A331" s="16" t="str"/>
      <x:c r="B331" s="16" t="str"/>
      <x:c r="C331" s="16" t="str"/>
      <x:c r="D331" s="28" t="str"/>
      <x:c r="E331" s="16" t="str"/>
      <x:c r="F331" s="16" t="str"/>
      <x:c r="G331" s="16" t="str"/>
      <x:c r="H331" s="16" t="str"/>
      <x:c r="I331" s="28" t="str"/>
      <x:c r="J331" s="28" t="str"/>
      <x:c r="K331" s="28" t="str"/>
      <x:c r="L331" s="16" t="str"/>
      <x:c r="M331" s="28" t="str">
        <x:f>IF(D331="","",D331+21)</x:f>
      </x:c>
      <x:c r="N331" s="16" t="str">
        <x:f>IF(M331="","",M331-TODAY())</x:f>
      </x:c>
      <x:c r="O331" s="16" t="str">
        <x:f>IF(A331="","",IF(OR(H331="Encerrado",H331="Descartado"),"Encerrado",IF(OR(H331="Sintomático",H331="Suspeito",H331="Confirmado",H331="Óbito"),"Requer avaliação/ação",IF(N331&lt;0,"Prazo concluído","Em monitoramento"))))</x:f>
      </x:c>
      <x:c r="P331" s="16" t="str">
        <x:f>IF(A331="","",IF(OR(E331="Manipulação do corpo",E331="Velório/funeral",E331="Sepultamento",E331="Limpeza/desinfecção"),"Pós-óbito",IF(OR(E331="Transporte do paciente",E331="Cuidado direto",E331="Contato com fluidos",E331="Serviço de saúde",E331="Laboratório"),"Exposição direta/assistencial","Exposição comunitária/outro")))</x:f>
      </x:c>
      <x:c r="Q331" s="16" t="str">
        <x:f>IF(A331="","",IF(P331="Pós-óbito","Sim","Não"))</x:f>
      </x:c>
    </x:row>
    <x:row r="332">
      <x:c r="A332" s="16" t="str"/>
      <x:c r="B332" s="16" t="str"/>
      <x:c r="C332" s="16" t="str"/>
      <x:c r="D332" s="28" t="str"/>
      <x:c r="E332" s="16" t="str"/>
      <x:c r="F332" s="16" t="str"/>
      <x:c r="G332" s="16" t="str"/>
      <x:c r="H332" s="16" t="str"/>
      <x:c r="I332" s="28" t="str"/>
      <x:c r="J332" s="28" t="str"/>
      <x:c r="K332" s="28" t="str"/>
      <x:c r="L332" s="16" t="str"/>
      <x:c r="M332" s="28" t="str">
        <x:f>IF(D332="","",D332+21)</x:f>
      </x:c>
      <x:c r="N332" s="16" t="str">
        <x:f>IF(M332="","",M332-TODAY())</x:f>
      </x:c>
      <x:c r="O332" s="16" t="str">
        <x:f>IF(A332="","",IF(OR(H332="Encerrado",H332="Descartado"),"Encerrado",IF(OR(H332="Sintomático",H332="Suspeito",H332="Confirmado",H332="Óbito"),"Requer avaliação/ação",IF(N332&lt;0,"Prazo concluído","Em monitoramento"))))</x:f>
      </x:c>
      <x:c r="P332" s="16" t="str">
        <x:f>IF(A332="","",IF(OR(E332="Manipulação do corpo",E332="Velório/funeral",E332="Sepultamento",E332="Limpeza/desinfecção"),"Pós-óbito",IF(OR(E332="Transporte do paciente",E332="Cuidado direto",E332="Contato com fluidos",E332="Serviço de saúde",E332="Laboratório"),"Exposição direta/assistencial","Exposição comunitária/outro")))</x:f>
      </x:c>
      <x:c r="Q332" s="16" t="str">
        <x:f>IF(A332="","",IF(P332="Pós-óbito","Sim","Não"))</x:f>
      </x:c>
    </x:row>
    <x:row r="333">
      <x:c r="A333" s="16" t="str"/>
      <x:c r="B333" s="16" t="str"/>
      <x:c r="C333" s="16" t="str"/>
      <x:c r="D333" s="28" t="str"/>
      <x:c r="E333" s="16" t="str"/>
      <x:c r="F333" s="16" t="str"/>
      <x:c r="G333" s="16" t="str"/>
      <x:c r="H333" s="16" t="str"/>
      <x:c r="I333" s="28" t="str"/>
      <x:c r="J333" s="28" t="str"/>
      <x:c r="K333" s="28" t="str"/>
      <x:c r="L333" s="16" t="str"/>
      <x:c r="M333" s="28" t="str">
        <x:f>IF(D333="","",D333+21)</x:f>
      </x:c>
      <x:c r="N333" s="16" t="str">
        <x:f>IF(M333="","",M333-TODAY())</x:f>
      </x:c>
      <x:c r="O333" s="16" t="str">
        <x:f>IF(A333="","",IF(OR(H333="Encerrado",H333="Descartado"),"Encerrado",IF(OR(H333="Sintomático",H333="Suspeito",H333="Confirmado",H333="Óbito"),"Requer avaliação/ação",IF(N333&lt;0,"Prazo concluído","Em monitoramento"))))</x:f>
      </x:c>
      <x:c r="P333" s="16" t="str">
        <x:f>IF(A333="","",IF(OR(E333="Manipulação do corpo",E333="Velório/funeral",E333="Sepultamento",E333="Limpeza/desinfecção"),"Pós-óbito",IF(OR(E333="Transporte do paciente",E333="Cuidado direto",E333="Contato com fluidos",E333="Serviço de saúde",E333="Laboratório"),"Exposição direta/assistencial","Exposição comunitária/outro")))</x:f>
      </x:c>
      <x:c r="Q333" s="16" t="str">
        <x:f>IF(A333="","",IF(P333="Pós-óbito","Sim","Não"))</x:f>
      </x:c>
    </x:row>
    <x:row r="334">
      <x:c r="A334" s="16" t="str"/>
      <x:c r="B334" s="16" t="str"/>
      <x:c r="C334" s="16" t="str"/>
      <x:c r="D334" s="28" t="str"/>
      <x:c r="E334" s="16" t="str"/>
      <x:c r="F334" s="16" t="str"/>
      <x:c r="G334" s="16" t="str"/>
      <x:c r="H334" s="16" t="str"/>
      <x:c r="I334" s="28" t="str"/>
      <x:c r="J334" s="28" t="str"/>
      <x:c r="K334" s="28" t="str"/>
      <x:c r="L334" s="16" t="str"/>
      <x:c r="M334" s="28" t="str">
        <x:f>IF(D334="","",D334+21)</x:f>
      </x:c>
      <x:c r="N334" s="16" t="str">
        <x:f>IF(M334="","",M334-TODAY())</x:f>
      </x:c>
      <x:c r="O334" s="16" t="str">
        <x:f>IF(A334="","",IF(OR(H334="Encerrado",H334="Descartado"),"Encerrado",IF(OR(H334="Sintomático",H334="Suspeito",H334="Confirmado",H334="Óbito"),"Requer avaliação/ação",IF(N334&lt;0,"Prazo concluído","Em monitoramento"))))</x:f>
      </x:c>
      <x:c r="P334" s="16" t="str">
        <x:f>IF(A334="","",IF(OR(E334="Manipulação do corpo",E334="Velório/funeral",E334="Sepultamento",E334="Limpeza/desinfecção"),"Pós-óbito",IF(OR(E334="Transporte do paciente",E334="Cuidado direto",E334="Contato com fluidos",E334="Serviço de saúde",E334="Laboratório"),"Exposição direta/assistencial","Exposição comunitária/outro")))</x:f>
      </x:c>
      <x:c r="Q334" s="16" t="str">
        <x:f>IF(A334="","",IF(P334="Pós-óbito","Sim","Não"))</x:f>
      </x:c>
    </x:row>
    <x:row r="335">
      <x:c r="A335" s="16" t="str"/>
      <x:c r="B335" s="16" t="str"/>
      <x:c r="C335" s="16" t="str"/>
      <x:c r="D335" s="28" t="str"/>
      <x:c r="E335" s="16" t="str"/>
      <x:c r="F335" s="16" t="str"/>
      <x:c r="G335" s="16" t="str"/>
      <x:c r="H335" s="16" t="str"/>
      <x:c r="I335" s="28" t="str"/>
      <x:c r="J335" s="28" t="str"/>
      <x:c r="K335" s="28" t="str"/>
      <x:c r="L335" s="16" t="str"/>
      <x:c r="M335" s="28" t="str">
        <x:f>IF(D335="","",D335+21)</x:f>
      </x:c>
      <x:c r="N335" s="16" t="str">
        <x:f>IF(M335="","",M335-TODAY())</x:f>
      </x:c>
      <x:c r="O335" s="16" t="str">
        <x:f>IF(A335="","",IF(OR(H335="Encerrado",H335="Descartado"),"Encerrado",IF(OR(H335="Sintomático",H335="Suspeito",H335="Confirmado",H335="Óbito"),"Requer avaliação/ação",IF(N335&lt;0,"Prazo concluído","Em monitoramento"))))</x:f>
      </x:c>
      <x:c r="P335" s="16" t="str">
        <x:f>IF(A335="","",IF(OR(E335="Manipulação do corpo",E335="Velório/funeral",E335="Sepultamento",E335="Limpeza/desinfecção"),"Pós-óbito",IF(OR(E335="Transporte do paciente",E335="Cuidado direto",E335="Contato com fluidos",E335="Serviço de saúde",E335="Laboratório"),"Exposição direta/assistencial","Exposição comunitária/outro")))</x:f>
      </x:c>
      <x:c r="Q335" s="16" t="str">
        <x:f>IF(A335="","",IF(P335="Pós-óbito","Sim","Não"))</x:f>
      </x:c>
    </x:row>
    <x:row r="336">
      <x:c r="A336" s="16" t="str"/>
      <x:c r="B336" s="16" t="str"/>
      <x:c r="C336" s="16" t="str"/>
      <x:c r="D336" s="28" t="str"/>
      <x:c r="E336" s="16" t="str"/>
      <x:c r="F336" s="16" t="str"/>
      <x:c r="G336" s="16" t="str"/>
      <x:c r="H336" s="16" t="str"/>
      <x:c r="I336" s="28" t="str"/>
      <x:c r="J336" s="28" t="str"/>
      <x:c r="K336" s="28" t="str"/>
      <x:c r="L336" s="16" t="str"/>
      <x:c r="M336" s="28" t="str">
        <x:f>IF(D336="","",D336+21)</x:f>
      </x:c>
      <x:c r="N336" s="16" t="str">
        <x:f>IF(M336="","",M336-TODAY())</x:f>
      </x:c>
      <x:c r="O336" s="16" t="str">
        <x:f>IF(A336="","",IF(OR(H336="Encerrado",H336="Descartado"),"Encerrado",IF(OR(H336="Sintomático",H336="Suspeito",H336="Confirmado",H336="Óbito"),"Requer avaliação/ação",IF(N336&lt;0,"Prazo concluído","Em monitoramento"))))</x:f>
      </x:c>
      <x:c r="P336" s="16" t="str">
        <x:f>IF(A336="","",IF(OR(E336="Manipulação do corpo",E336="Velório/funeral",E336="Sepultamento",E336="Limpeza/desinfecção"),"Pós-óbito",IF(OR(E336="Transporte do paciente",E336="Cuidado direto",E336="Contato com fluidos",E336="Serviço de saúde",E336="Laboratório"),"Exposição direta/assistencial","Exposição comunitária/outro")))</x:f>
      </x:c>
      <x:c r="Q336" s="16" t="str">
        <x:f>IF(A336="","",IF(P336="Pós-óbito","Sim","Não"))</x:f>
      </x:c>
    </x:row>
    <x:row r="337">
      <x:c r="A337" s="16" t="str"/>
      <x:c r="B337" s="16" t="str"/>
      <x:c r="C337" s="16" t="str"/>
      <x:c r="D337" s="28" t="str"/>
      <x:c r="E337" s="16" t="str"/>
      <x:c r="F337" s="16" t="str"/>
      <x:c r="G337" s="16" t="str"/>
      <x:c r="H337" s="16" t="str"/>
      <x:c r="I337" s="28" t="str"/>
      <x:c r="J337" s="28" t="str"/>
      <x:c r="K337" s="28" t="str"/>
      <x:c r="L337" s="16" t="str"/>
      <x:c r="M337" s="28" t="str">
        <x:f>IF(D337="","",D337+21)</x:f>
      </x:c>
      <x:c r="N337" s="16" t="str">
        <x:f>IF(M337="","",M337-TODAY())</x:f>
      </x:c>
      <x:c r="O337" s="16" t="str">
        <x:f>IF(A337="","",IF(OR(H337="Encerrado",H337="Descartado"),"Encerrado",IF(OR(H337="Sintomático",H337="Suspeito",H337="Confirmado",H337="Óbito"),"Requer avaliação/ação",IF(N337&lt;0,"Prazo concluído","Em monitoramento"))))</x:f>
      </x:c>
      <x:c r="P337" s="16" t="str">
        <x:f>IF(A337="","",IF(OR(E337="Manipulação do corpo",E337="Velório/funeral",E337="Sepultamento",E337="Limpeza/desinfecção"),"Pós-óbito",IF(OR(E337="Transporte do paciente",E337="Cuidado direto",E337="Contato com fluidos",E337="Serviço de saúde",E337="Laboratório"),"Exposição direta/assistencial","Exposição comunitária/outro")))</x:f>
      </x:c>
      <x:c r="Q337" s="16" t="str">
        <x:f>IF(A337="","",IF(P337="Pós-óbito","Sim","Não"))</x:f>
      </x:c>
    </x:row>
    <x:row r="338">
      <x:c r="A338" s="16" t="str"/>
      <x:c r="B338" s="16" t="str"/>
      <x:c r="C338" s="16" t="str"/>
      <x:c r="D338" s="28" t="str"/>
      <x:c r="E338" s="16" t="str"/>
      <x:c r="F338" s="16" t="str"/>
      <x:c r="G338" s="16" t="str"/>
      <x:c r="H338" s="16" t="str"/>
      <x:c r="I338" s="28" t="str"/>
      <x:c r="J338" s="28" t="str"/>
      <x:c r="K338" s="28" t="str"/>
      <x:c r="L338" s="16" t="str"/>
      <x:c r="M338" s="28" t="str">
        <x:f>IF(D338="","",D338+21)</x:f>
      </x:c>
      <x:c r="N338" s="16" t="str">
        <x:f>IF(M338="","",M338-TODAY())</x:f>
      </x:c>
      <x:c r="O338" s="16" t="str">
        <x:f>IF(A338="","",IF(OR(H338="Encerrado",H338="Descartado"),"Encerrado",IF(OR(H338="Sintomático",H338="Suspeito",H338="Confirmado",H338="Óbito"),"Requer avaliação/ação",IF(N338&lt;0,"Prazo concluído","Em monitoramento"))))</x:f>
      </x:c>
      <x:c r="P338" s="16" t="str">
        <x:f>IF(A338="","",IF(OR(E338="Manipulação do corpo",E338="Velório/funeral",E338="Sepultamento",E338="Limpeza/desinfecção"),"Pós-óbito",IF(OR(E338="Transporte do paciente",E338="Cuidado direto",E338="Contato com fluidos",E338="Serviço de saúde",E338="Laboratório"),"Exposição direta/assistencial","Exposição comunitária/outro")))</x:f>
      </x:c>
      <x:c r="Q338" s="16" t="str">
        <x:f>IF(A338="","",IF(P338="Pós-óbito","Sim","Não"))</x:f>
      </x:c>
    </x:row>
    <x:row r="339">
      <x:c r="A339" s="16" t="str"/>
      <x:c r="B339" s="16" t="str"/>
      <x:c r="C339" s="16" t="str"/>
      <x:c r="D339" s="28" t="str"/>
      <x:c r="E339" s="16" t="str"/>
      <x:c r="F339" s="16" t="str"/>
      <x:c r="G339" s="16" t="str"/>
      <x:c r="H339" s="16" t="str"/>
      <x:c r="I339" s="28" t="str"/>
      <x:c r="J339" s="28" t="str"/>
      <x:c r="K339" s="28" t="str"/>
      <x:c r="L339" s="16" t="str"/>
      <x:c r="M339" s="28" t="str">
        <x:f>IF(D339="","",D339+21)</x:f>
      </x:c>
      <x:c r="N339" s="16" t="str">
        <x:f>IF(M339="","",M339-TODAY())</x:f>
      </x:c>
      <x:c r="O339" s="16" t="str">
        <x:f>IF(A339="","",IF(OR(H339="Encerrado",H339="Descartado"),"Encerrado",IF(OR(H339="Sintomático",H339="Suspeito",H339="Confirmado",H339="Óbito"),"Requer avaliação/ação",IF(N339&lt;0,"Prazo concluído","Em monitoramento"))))</x:f>
      </x:c>
      <x:c r="P339" s="16" t="str">
        <x:f>IF(A339="","",IF(OR(E339="Manipulação do corpo",E339="Velório/funeral",E339="Sepultamento",E339="Limpeza/desinfecção"),"Pós-óbito",IF(OR(E339="Transporte do paciente",E339="Cuidado direto",E339="Contato com fluidos",E339="Serviço de saúde",E339="Laboratório"),"Exposição direta/assistencial","Exposição comunitária/outro")))</x:f>
      </x:c>
      <x:c r="Q339" s="16" t="str">
        <x:f>IF(A339="","",IF(P339="Pós-óbito","Sim","Não"))</x:f>
      </x:c>
    </x:row>
    <x:row r="340">
      <x:c r="A340" s="16" t="str"/>
      <x:c r="B340" s="16" t="str"/>
      <x:c r="C340" s="16" t="str"/>
      <x:c r="D340" s="28" t="str"/>
      <x:c r="E340" s="16" t="str"/>
      <x:c r="F340" s="16" t="str"/>
      <x:c r="G340" s="16" t="str"/>
      <x:c r="H340" s="16" t="str"/>
      <x:c r="I340" s="28" t="str"/>
      <x:c r="J340" s="28" t="str"/>
      <x:c r="K340" s="28" t="str"/>
      <x:c r="L340" s="16" t="str"/>
      <x:c r="M340" s="28" t="str">
        <x:f>IF(D340="","",D340+21)</x:f>
      </x:c>
      <x:c r="N340" s="16" t="str">
        <x:f>IF(M340="","",M340-TODAY())</x:f>
      </x:c>
      <x:c r="O340" s="16" t="str">
        <x:f>IF(A340="","",IF(OR(H340="Encerrado",H340="Descartado"),"Encerrado",IF(OR(H340="Sintomático",H340="Suspeito",H340="Confirmado",H340="Óbito"),"Requer avaliação/ação",IF(N340&lt;0,"Prazo concluído","Em monitoramento"))))</x:f>
      </x:c>
      <x:c r="P340" s="16" t="str">
        <x:f>IF(A340="","",IF(OR(E340="Manipulação do corpo",E340="Velório/funeral",E340="Sepultamento",E340="Limpeza/desinfecção"),"Pós-óbito",IF(OR(E340="Transporte do paciente",E340="Cuidado direto",E340="Contato com fluidos",E340="Serviço de saúde",E340="Laboratório"),"Exposição direta/assistencial","Exposição comunitária/outro")))</x:f>
      </x:c>
      <x:c r="Q340" s="16" t="str">
        <x:f>IF(A340="","",IF(P340="Pós-óbito","Sim","Não"))</x:f>
      </x:c>
    </x:row>
    <x:row r="341">
      <x:c r="A341" s="16" t="str"/>
      <x:c r="B341" s="16" t="str"/>
      <x:c r="C341" s="16" t="str"/>
      <x:c r="D341" s="28" t="str"/>
      <x:c r="E341" s="16" t="str"/>
      <x:c r="F341" s="16" t="str"/>
      <x:c r="G341" s="16" t="str"/>
      <x:c r="H341" s="16" t="str"/>
      <x:c r="I341" s="28" t="str"/>
      <x:c r="J341" s="28" t="str"/>
      <x:c r="K341" s="28" t="str"/>
      <x:c r="L341" s="16" t="str"/>
      <x:c r="M341" s="28" t="str">
        <x:f>IF(D341="","",D341+21)</x:f>
      </x:c>
      <x:c r="N341" s="16" t="str">
        <x:f>IF(M341="","",M341-TODAY())</x:f>
      </x:c>
      <x:c r="O341" s="16" t="str">
        <x:f>IF(A341="","",IF(OR(H341="Encerrado",H341="Descartado"),"Encerrado",IF(OR(H341="Sintomático",H341="Suspeito",H341="Confirmado",H341="Óbito"),"Requer avaliação/ação",IF(N341&lt;0,"Prazo concluído","Em monitoramento"))))</x:f>
      </x:c>
      <x:c r="P341" s="16" t="str">
        <x:f>IF(A341="","",IF(OR(E341="Manipulação do corpo",E341="Velório/funeral",E341="Sepultamento",E341="Limpeza/desinfecção"),"Pós-óbito",IF(OR(E341="Transporte do paciente",E341="Cuidado direto",E341="Contato com fluidos",E341="Serviço de saúde",E341="Laboratório"),"Exposição direta/assistencial","Exposição comunitária/outro")))</x:f>
      </x:c>
      <x:c r="Q341" s="16" t="str">
        <x:f>IF(A341="","",IF(P341="Pós-óbito","Sim","Não"))</x:f>
      </x:c>
    </x:row>
    <x:row r="342">
      <x:c r="A342" s="16" t="str"/>
      <x:c r="B342" s="16" t="str"/>
      <x:c r="C342" s="16" t="str"/>
      <x:c r="D342" s="28" t="str"/>
      <x:c r="E342" s="16" t="str"/>
      <x:c r="F342" s="16" t="str"/>
      <x:c r="G342" s="16" t="str"/>
      <x:c r="H342" s="16" t="str"/>
      <x:c r="I342" s="28" t="str"/>
      <x:c r="J342" s="28" t="str"/>
      <x:c r="K342" s="28" t="str"/>
      <x:c r="L342" s="16" t="str"/>
      <x:c r="M342" s="28" t="str">
        <x:f>IF(D342="","",D342+21)</x:f>
      </x:c>
      <x:c r="N342" s="16" t="str">
        <x:f>IF(M342="","",M342-TODAY())</x:f>
      </x:c>
      <x:c r="O342" s="16" t="str">
        <x:f>IF(A342="","",IF(OR(H342="Encerrado",H342="Descartado"),"Encerrado",IF(OR(H342="Sintomático",H342="Suspeito",H342="Confirmado",H342="Óbito"),"Requer avaliação/ação",IF(N342&lt;0,"Prazo concluído","Em monitoramento"))))</x:f>
      </x:c>
      <x:c r="P342" s="16" t="str">
        <x:f>IF(A342="","",IF(OR(E342="Manipulação do corpo",E342="Velório/funeral",E342="Sepultamento",E342="Limpeza/desinfecção"),"Pós-óbito",IF(OR(E342="Transporte do paciente",E342="Cuidado direto",E342="Contato com fluidos",E342="Serviço de saúde",E342="Laboratório"),"Exposição direta/assistencial","Exposição comunitária/outro")))</x:f>
      </x:c>
      <x:c r="Q342" s="16" t="str">
        <x:f>IF(A342="","",IF(P342="Pós-óbito","Sim","Não"))</x:f>
      </x:c>
    </x:row>
    <x:row r="343">
      <x:c r="A343" s="16" t="str"/>
      <x:c r="B343" s="16" t="str"/>
      <x:c r="C343" s="16" t="str"/>
      <x:c r="D343" s="28" t="str"/>
      <x:c r="E343" s="16" t="str"/>
      <x:c r="F343" s="16" t="str"/>
      <x:c r="G343" s="16" t="str"/>
      <x:c r="H343" s="16" t="str"/>
      <x:c r="I343" s="28" t="str"/>
      <x:c r="J343" s="28" t="str"/>
      <x:c r="K343" s="28" t="str"/>
      <x:c r="L343" s="16" t="str"/>
      <x:c r="M343" s="28" t="str">
        <x:f>IF(D343="","",D343+21)</x:f>
      </x:c>
      <x:c r="N343" s="16" t="str">
        <x:f>IF(M343="","",M343-TODAY())</x:f>
      </x:c>
      <x:c r="O343" s="16" t="str">
        <x:f>IF(A343="","",IF(OR(H343="Encerrado",H343="Descartado"),"Encerrado",IF(OR(H343="Sintomático",H343="Suspeito",H343="Confirmado",H343="Óbito"),"Requer avaliação/ação",IF(N343&lt;0,"Prazo concluído","Em monitoramento"))))</x:f>
      </x:c>
      <x:c r="P343" s="16" t="str">
        <x:f>IF(A343="","",IF(OR(E343="Manipulação do corpo",E343="Velório/funeral",E343="Sepultamento",E343="Limpeza/desinfecção"),"Pós-óbito",IF(OR(E343="Transporte do paciente",E343="Cuidado direto",E343="Contato com fluidos",E343="Serviço de saúde",E343="Laboratório"),"Exposição direta/assistencial","Exposição comunitária/outro")))</x:f>
      </x:c>
      <x:c r="Q343" s="16" t="str">
        <x:f>IF(A343="","",IF(P343="Pós-óbito","Sim","Não"))</x:f>
      </x:c>
    </x:row>
    <x:row r="344">
      <x:c r="A344" s="16" t="str"/>
      <x:c r="B344" s="16" t="str"/>
      <x:c r="C344" s="16" t="str"/>
      <x:c r="D344" s="28" t="str"/>
      <x:c r="E344" s="16" t="str"/>
      <x:c r="F344" s="16" t="str"/>
      <x:c r="G344" s="16" t="str"/>
      <x:c r="H344" s="16" t="str"/>
      <x:c r="I344" s="28" t="str"/>
      <x:c r="J344" s="28" t="str"/>
      <x:c r="K344" s="28" t="str"/>
      <x:c r="L344" s="16" t="str"/>
      <x:c r="M344" s="28" t="str">
        <x:f>IF(D344="","",D344+21)</x:f>
      </x:c>
      <x:c r="N344" s="16" t="str">
        <x:f>IF(M344="","",M344-TODAY())</x:f>
      </x:c>
      <x:c r="O344" s="16" t="str">
        <x:f>IF(A344="","",IF(OR(H344="Encerrado",H344="Descartado"),"Encerrado",IF(OR(H344="Sintomático",H344="Suspeito",H344="Confirmado",H344="Óbito"),"Requer avaliação/ação",IF(N344&lt;0,"Prazo concluído","Em monitoramento"))))</x:f>
      </x:c>
      <x:c r="P344" s="16" t="str">
        <x:f>IF(A344="","",IF(OR(E344="Manipulação do corpo",E344="Velório/funeral",E344="Sepultamento",E344="Limpeza/desinfecção"),"Pós-óbito",IF(OR(E344="Transporte do paciente",E344="Cuidado direto",E344="Contato com fluidos",E344="Serviço de saúde",E344="Laboratório"),"Exposição direta/assistencial","Exposição comunitária/outro")))</x:f>
      </x:c>
      <x:c r="Q344" s="16" t="str">
        <x:f>IF(A344="","",IF(P344="Pós-óbito","Sim","Não"))</x:f>
      </x:c>
    </x:row>
    <x:row r="345">
      <x:c r="A345" s="16" t="str"/>
      <x:c r="B345" s="16" t="str"/>
      <x:c r="C345" s="16" t="str"/>
      <x:c r="D345" s="28" t="str"/>
      <x:c r="E345" s="16" t="str"/>
      <x:c r="F345" s="16" t="str"/>
      <x:c r="G345" s="16" t="str"/>
      <x:c r="H345" s="16" t="str"/>
      <x:c r="I345" s="28" t="str"/>
      <x:c r="J345" s="28" t="str"/>
      <x:c r="K345" s="28" t="str"/>
      <x:c r="L345" s="16" t="str"/>
      <x:c r="M345" s="28" t="str">
        <x:f>IF(D345="","",D345+21)</x:f>
      </x:c>
      <x:c r="N345" s="16" t="str">
        <x:f>IF(M345="","",M345-TODAY())</x:f>
      </x:c>
      <x:c r="O345" s="16" t="str">
        <x:f>IF(A345="","",IF(OR(H345="Encerrado",H345="Descartado"),"Encerrado",IF(OR(H345="Sintomático",H345="Suspeito",H345="Confirmado",H345="Óbito"),"Requer avaliação/ação",IF(N345&lt;0,"Prazo concluído","Em monitoramento"))))</x:f>
      </x:c>
      <x:c r="P345" s="16" t="str">
        <x:f>IF(A345="","",IF(OR(E345="Manipulação do corpo",E345="Velório/funeral",E345="Sepultamento",E345="Limpeza/desinfecção"),"Pós-óbito",IF(OR(E345="Transporte do paciente",E345="Cuidado direto",E345="Contato com fluidos",E345="Serviço de saúde",E345="Laboratório"),"Exposição direta/assistencial","Exposição comunitária/outro")))</x:f>
      </x:c>
      <x:c r="Q345" s="16" t="str">
        <x:f>IF(A345="","",IF(P345="Pós-óbito","Sim","Não"))</x:f>
      </x:c>
    </x:row>
    <x:row r="346">
      <x:c r="A346" s="16" t="str"/>
      <x:c r="B346" s="16" t="str"/>
      <x:c r="C346" s="16" t="str"/>
      <x:c r="D346" s="28" t="str"/>
      <x:c r="E346" s="16" t="str"/>
      <x:c r="F346" s="16" t="str"/>
      <x:c r="G346" s="16" t="str"/>
      <x:c r="H346" s="16" t="str"/>
      <x:c r="I346" s="28" t="str"/>
      <x:c r="J346" s="28" t="str"/>
      <x:c r="K346" s="28" t="str"/>
      <x:c r="L346" s="16" t="str"/>
      <x:c r="M346" s="28" t="str">
        <x:f>IF(D346="","",D346+21)</x:f>
      </x:c>
      <x:c r="N346" s="16" t="str">
        <x:f>IF(M346="","",M346-TODAY())</x:f>
      </x:c>
      <x:c r="O346" s="16" t="str">
        <x:f>IF(A346="","",IF(OR(H346="Encerrado",H346="Descartado"),"Encerrado",IF(OR(H346="Sintomático",H346="Suspeito",H346="Confirmado",H346="Óbito"),"Requer avaliação/ação",IF(N346&lt;0,"Prazo concluído","Em monitoramento"))))</x:f>
      </x:c>
      <x:c r="P346" s="16" t="str">
        <x:f>IF(A346="","",IF(OR(E346="Manipulação do corpo",E346="Velório/funeral",E346="Sepultamento",E346="Limpeza/desinfecção"),"Pós-óbito",IF(OR(E346="Transporte do paciente",E346="Cuidado direto",E346="Contato com fluidos",E346="Serviço de saúde",E346="Laboratório"),"Exposição direta/assistencial","Exposição comunitária/outro")))</x:f>
      </x:c>
      <x:c r="Q346" s="16" t="str">
        <x:f>IF(A346="","",IF(P346="Pós-óbito","Sim","Não"))</x:f>
      </x:c>
    </x:row>
    <x:row r="347">
      <x:c r="A347" s="16" t="str"/>
      <x:c r="B347" s="16" t="str"/>
      <x:c r="C347" s="16" t="str"/>
      <x:c r="D347" s="28" t="str"/>
      <x:c r="E347" s="16" t="str"/>
      <x:c r="F347" s="16" t="str"/>
      <x:c r="G347" s="16" t="str"/>
      <x:c r="H347" s="16" t="str"/>
      <x:c r="I347" s="28" t="str"/>
      <x:c r="J347" s="28" t="str"/>
      <x:c r="K347" s="28" t="str"/>
      <x:c r="L347" s="16" t="str"/>
      <x:c r="M347" s="28" t="str">
        <x:f>IF(D347="","",D347+21)</x:f>
      </x:c>
      <x:c r="N347" s="16" t="str">
        <x:f>IF(M347="","",M347-TODAY())</x:f>
      </x:c>
      <x:c r="O347" s="16" t="str">
        <x:f>IF(A347="","",IF(OR(H347="Encerrado",H347="Descartado"),"Encerrado",IF(OR(H347="Sintomático",H347="Suspeito",H347="Confirmado",H347="Óbito"),"Requer avaliação/ação",IF(N347&lt;0,"Prazo concluído","Em monitoramento"))))</x:f>
      </x:c>
      <x:c r="P347" s="16" t="str">
        <x:f>IF(A347="","",IF(OR(E347="Manipulação do corpo",E347="Velório/funeral",E347="Sepultamento",E347="Limpeza/desinfecção"),"Pós-óbito",IF(OR(E347="Transporte do paciente",E347="Cuidado direto",E347="Contato com fluidos",E347="Serviço de saúde",E347="Laboratório"),"Exposição direta/assistencial","Exposição comunitária/outro")))</x:f>
      </x:c>
      <x:c r="Q347" s="16" t="str">
        <x:f>IF(A347="","",IF(P347="Pós-óbito","Sim","Não"))</x:f>
      </x:c>
    </x:row>
    <x:row r="348">
      <x:c r="A348" s="16" t="str"/>
      <x:c r="B348" s="16" t="str"/>
      <x:c r="C348" s="16" t="str"/>
      <x:c r="D348" s="28" t="str"/>
      <x:c r="E348" s="16" t="str"/>
      <x:c r="F348" s="16" t="str"/>
      <x:c r="G348" s="16" t="str"/>
      <x:c r="H348" s="16" t="str"/>
      <x:c r="I348" s="28" t="str"/>
      <x:c r="J348" s="28" t="str"/>
      <x:c r="K348" s="28" t="str"/>
      <x:c r="L348" s="16" t="str"/>
      <x:c r="M348" s="28" t="str">
        <x:f>IF(D348="","",D348+21)</x:f>
      </x:c>
      <x:c r="N348" s="16" t="str">
        <x:f>IF(M348="","",M348-TODAY())</x:f>
      </x:c>
      <x:c r="O348" s="16" t="str">
        <x:f>IF(A348="","",IF(OR(H348="Encerrado",H348="Descartado"),"Encerrado",IF(OR(H348="Sintomático",H348="Suspeito",H348="Confirmado",H348="Óbito"),"Requer avaliação/ação",IF(N348&lt;0,"Prazo concluído","Em monitoramento"))))</x:f>
      </x:c>
      <x:c r="P348" s="16" t="str">
        <x:f>IF(A348="","",IF(OR(E348="Manipulação do corpo",E348="Velório/funeral",E348="Sepultamento",E348="Limpeza/desinfecção"),"Pós-óbito",IF(OR(E348="Transporte do paciente",E348="Cuidado direto",E348="Contato com fluidos",E348="Serviço de saúde",E348="Laboratório"),"Exposição direta/assistencial","Exposição comunitária/outro")))</x:f>
      </x:c>
      <x:c r="Q348" s="16" t="str">
        <x:f>IF(A348="","",IF(P348="Pós-óbito","Sim","Não"))</x:f>
      </x:c>
    </x:row>
    <x:row r="349">
      <x:c r="A349" s="16" t="str"/>
      <x:c r="B349" s="16" t="str"/>
      <x:c r="C349" s="16" t="str"/>
      <x:c r="D349" s="28" t="str"/>
      <x:c r="E349" s="16" t="str"/>
      <x:c r="F349" s="16" t="str"/>
      <x:c r="G349" s="16" t="str"/>
      <x:c r="H349" s="16" t="str"/>
      <x:c r="I349" s="28" t="str"/>
      <x:c r="J349" s="28" t="str"/>
      <x:c r="K349" s="28" t="str"/>
      <x:c r="L349" s="16" t="str"/>
      <x:c r="M349" s="28" t="str">
        <x:f>IF(D349="","",D349+21)</x:f>
      </x:c>
      <x:c r="N349" s="16" t="str">
        <x:f>IF(M349="","",M349-TODAY())</x:f>
      </x:c>
      <x:c r="O349" s="16" t="str">
        <x:f>IF(A349="","",IF(OR(H349="Encerrado",H349="Descartado"),"Encerrado",IF(OR(H349="Sintomático",H349="Suspeito",H349="Confirmado",H349="Óbito"),"Requer avaliação/ação",IF(N349&lt;0,"Prazo concluído","Em monitoramento"))))</x:f>
      </x:c>
      <x:c r="P349" s="16" t="str">
        <x:f>IF(A349="","",IF(OR(E349="Manipulação do corpo",E349="Velório/funeral",E349="Sepultamento",E349="Limpeza/desinfecção"),"Pós-óbito",IF(OR(E349="Transporte do paciente",E349="Cuidado direto",E349="Contato com fluidos",E349="Serviço de saúde",E349="Laboratório"),"Exposição direta/assistencial","Exposição comunitária/outro")))</x:f>
      </x:c>
      <x:c r="Q349" s="16" t="str">
        <x:f>IF(A349="","",IF(P349="Pós-óbito","Sim","Não"))</x:f>
      </x:c>
    </x:row>
    <x:row r="350">
      <x:c r="A350" s="16" t="str"/>
      <x:c r="B350" s="16" t="str"/>
      <x:c r="C350" s="16" t="str"/>
      <x:c r="D350" s="28" t="str"/>
      <x:c r="E350" s="16" t="str"/>
      <x:c r="F350" s="16" t="str"/>
      <x:c r="G350" s="16" t="str"/>
      <x:c r="H350" s="16" t="str"/>
      <x:c r="I350" s="28" t="str"/>
      <x:c r="J350" s="28" t="str"/>
      <x:c r="K350" s="28" t="str"/>
      <x:c r="L350" s="16" t="str"/>
      <x:c r="M350" s="28" t="str">
        <x:f>IF(D350="","",D350+21)</x:f>
      </x:c>
      <x:c r="N350" s="16" t="str">
        <x:f>IF(M350="","",M350-TODAY())</x:f>
      </x:c>
      <x:c r="O350" s="16" t="str">
        <x:f>IF(A350="","",IF(OR(H350="Encerrado",H350="Descartado"),"Encerrado",IF(OR(H350="Sintomático",H350="Suspeito",H350="Confirmado",H350="Óbito"),"Requer avaliação/ação",IF(N350&lt;0,"Prazo concluído","Em monitoramento"))))</x:f>
      </x:c>
      <x:c r="P350" s="16" t="str">
        <x:f>IF(A350="","",IF(OR(E350="Manipulação do corpo",E350="Velório/funeral",E350="Sepultamento",E350="Limpeza/desinfecção"),"Pós-óbito",IF(OR(E350="Transporte do paciente",E350="Cuidado direto",E350="Contato com fluidos",E350="Serviço de saúde",E350="Laboratório"),"Exposição direta/assistencial","Exposição comunitária/outro")))</x:f>
      </x:c>
      <x:c r="Q350" s="16" t="str">
        <x:f>IF(A350="","",IF(P350="Pós-óbito","Sim","Não"))</x:f>
      </x:c>
    </x:row>
    <x:row r="351">
      <x:c r="A351" s="16" t="str"/>
      <x:c r="B351" s="16" t="str"/>
      <x:c r="C351" s="16" t="str"/>
      <x:c r="D351" s="28" t="str"/>
      <x:c r="E351" s="16" t="str"/>
      <x:c r="F351" s="16" t="str"/>
      <x:c r="G351" s="16" t="str"/>
      <x:c r="H351" s="16" t="str"/>
      <x:c r="I351" s="28" t="str"/>
      <x:c r="J351" s="28" t="str"/>
      <x:c r="K351" s="28" t="str"/>
      <x:c r="L351" s="16" t="str"/>
      <x:c r="M351" s="28" t="str">
        <x:f>IF(D351="","",D351+21)</x:f>
      </x:c>
      <x:c r="N351" s="16" t="str">
        <x:f>IF(M351="","",M351-TODAY())</x:f>
      </x:c>
      <x:c r="O351" s="16" t="str">
        <x:f>IF(A351="","",IF(OR(H351="Encerrado",H351="Descartado"),"Encerrado",IF(OR(H351="Sintomático",H351="Suspeito",H351="Confirmado",H351="Óbito"),"Requer avaliação/ação",IF(N351&lt;0,"Prazo concluído","Em monitoramento"))))</x:f>
      </x:c>
      <x:c r="P351" s="16" t="str">
        <x:f>IF(A351="","",IF(OR(E351="Manipulação do corpo",E351="Velório/funeral",E351="Sepultamento",E351="Limpeza/desinfecção"),"Pós-óbito",IF(OR(E351="Transporte do paciente",E351="Cuidado direto",E351="Contato com fluidos",E351="Serviço de saúde",E351="Laboratório"),"Exposição direta/assistencial","Exposição comunitária/outro")))</x:f>
      </x:c>
      <x:c r="Q351" s="16" t="str">
        <x:f>IF(A351="","",IF(P351="Pós-óbito","Sim","Não"))</x:f>
      </x:c>
    </x:row>
    <x:row r="352">
      <x:c r="A352" s="16" t="str"/>
      <x:c r="B352" s="16" t="str"/>
      <x:c r="C352" s="16" t="str"/>
      <x:c r="D352" s="28" t="str"/>
      <x:c r="E352" s="16" t="str"/>
      <x:c r="F352" s="16" t="str"/>
      <x:c r="G352" s="16" t="str"/>
      <x:c r="H352" s="16" t="str"/>
      <x:c r="I352" s="28" t="str"/>
      <x:c r="J352" s="28" t="str"/>
      <x:c r="K352" s="28" t="str"/>
      <x:c r="L352" s="16" t="str"/>
      <x:c r="M352" s="28" t="str">
        <x:f>IF(D352="","",D352+21)</x:f>
      </x:c>
      <x:c r="N352" s="16" t="str">
        <x:f>IF(M352="","",M352-TODAY())</x:f>
      </x:c>
      <x:c r="O352" s="16" t="str">
        <x:f>IF(A352="","",IF(OR(H352="Encerrado",H352="Descartado"),"Encerrado",IF(OR(H352="Sintomático",H352="Suspeito",H352="Confirmado",H352="Óbito"),"Requer avaliação/ação",IF(N352&lt;0,"Prazo concluído","Em monitoramento"))))</x:f>
      </x:c>
      <x:c r="P352" s="16" t="str">
        <x:f>IF(A352="","",IF(OR(E352="Manipulação do corpo",E352="Velório/funeral",E352="Sepultamento",E352="Limpeza/desinfecção"),"Pós-óbito",IF(OR(E352="Transporte do paciente",E352="Cuidado direto",E352="Contato com fluidos",E352="Serviço de saúde",E352="Laboratório"),"Exposição direta/assistencial","Exposição comunitária/outro")))</x:f>
      </x:c>
      <x:c r="Q352" s="16" t="str">
        <x:f>IF(A352="","",IF(P352="Pós-óbito","Sim","Não"))</x:f>
      </x:c>
    </x:row>
    <x:row r="353">
      <x:c r="A353" s="16" t="str"/>
      <x:c r="B353" s="16" t="str"/>
      <x:c r="C353" s="16" t="str"/>
      <x:c r="D353" s="28" t="str"/>
      <x:c r="E353" s="16" t="str"/>
      <x:c r="F353" s="16" t="str"/>
      <x:c r="G353" s="16" t="str"/>
      <x:c r="H353" s="16" t="str"/>
      <x:c r="I353" s="28" t="str"/>
      <x:c r="J353" s="28" t="str"/>
      <x:c r="K353" s="28" t="str"/>
      <x:c r="L353" s="16" t="str"/>
      <x:c r="M353" s="28" t="str">
        <x:f>IF(D353="","",D353+21)</x:f>
      </x:c>
      <x:c r="N353" s="16" t="str">
        <x:f>IF(M353="","",M353-TODAY())</x:f>
      </x:c>
      <x:c r="O353" s="16" t="str">
        <x:f>IF(A353="","",IF(OR(H353="Encerrado",H353="Descartado"),"Encerrado",IF(OR(H353="Sintomático",H353="Suspeito",H353="Confirmado",H353="Óbito"),"Requer avaliação/ação",IF(N353&lt;0,"Prazo concluído","Em monitoramento"))))</x:f>
      </x:c>
      <x:c r="P353" s="16" t="str">
        <x:f>IF(A353="","",IF(OR(E353="Manipulação do corpo",E353="Velório/funeral",E353="Sepultamento",E353="Limpeza/desinfecção"),"Pós-óbito",IF(OR(E353="Transporte do paciente",E353="Cuidado direto",E353="Contato com fluidos",E353="Serviço de saúde",E353="Laboratório"),"Exposição direta/assistencial","Exposição comunitária/outro")))</x:f>
      </x:c>
      <x:c r="Q353" s="16" t="str">
        <x:f>IF(A353="","",IF(P353="Pós-óbito","Sim","Não"))</x:f>
      </x:c>
    </x:row>
    <x:row r="354">
      <x:c r="A354" s="16" t="str"/>
      <x:c r="B354" s="16" t="str"/>
      <x:c r="C354" s="16" t="str"/>
      <x:c r="D354" s="28" t="str"/>
      <x:c r="E354" s="16" t="str"/>
      <x:c r="F354" s="16" t="str"/>
      <x:c r="G354" s="16" t="str"/>
      <x:c r="H354" s="16" t="str"/>
      <x:c r="I354" s="28" t="str"/>
      <x:c r="J354" s="28" t="str"/>
      <x:c r="K354" s="28" t="str"/>
      <x:c r="L354" s="16" t="str"/>
      <x:c r="M354" s="28" t="str">
        <x:f>IF(D354="","",D354+21)</x:f>
      </x:c>
      <x:c r="N354" s="16" t="str">
        <x:f>IF(M354="","",M354-TODAY())</x:f>
      </x:c>
      <x:c r="O354" s="16" t="str">
        <x:f>IF(A354="","",IF(OR(H354="Encerrado",H354="Descartado"),"Encerrado",IF(OR(H354="Sintomático",H354="Suspeito",H354="Confirmado",H354="Óbito"),"Requer avaliação/ação",IF(N354&lt;0,"Prazo concluído","Em monitoramento"))))</x:f>
      </x:c>
      <x:c r="P354" s="16" t="str">
        <x:f>IF(A354="","",IF(OR(E354="Manipulação do corpo",E354="Velório/funeral",E354="Sepultamento",E354="Limpeza/desinfecção"),"Pós-óbito",IF(OR(E354="Transporte do paciente",E354="Cuidado direto",E354="Contato com fluidos",E354="Serviço de saúde",E354="Laboratório"),"Exposição direta/assistencial","Exposição comunitária/outro")))</x:f>
      </x:c>
      <x:c r="Q354" s="16" t="str">
        <x:f>IF(A354="","",IF(P354="Pós-óbito","Sim","Não"))</x:f>
      </x:c>
    </x:row>
    <x:row r="355">
      <x:c r="A355" s="16" t="str"/>
      <x:c r="B355" s="16" t="str"/>
      <x:c r="C355" s="16" t="str"/>
      <x:c r="D355" s="28" t="str"/>
      <x:c r="E355" s="16" t="str"/>
      <x:c r="F355" s="16" t="str"/>
      <x:c r="G355" s="16" t="str"/>
      <x:c r="H355" s="16" t="str"/>
      <x:c r="I355" s="28" t="str"/>
      <x:c r="J355" s="28" t="str"/>
      <x:c r="K355" s="28" t="str"/>
      <x:c r="L355" s="16" t="str"/>
      <x:c r="M355" s="28" t="str">
        <x:f>IF(D355="","",D355+21)</x:f>
      </x:c>
      <x:c r="N355" s="16" t="str">
        <x:f>IF(M355="","",M355-TODAY())</x:f>
      </x:c>
      <x:c r="O355" s="16" t="str">
        <x:f>IF(A355="","",IF(OR(H355="Encerrado",H355="Descartado"),"Encerrado",IF(OR(H355="Sintomático",H355="Suspeito",H355="Confirmado",H355="Óbito"),"Requer avaliação/ação",IF(N355&lt;0,"Prazo concluído","Em monitoramento"))))</x:f>
      </x:c>
      <x:c r="P355" s="16" t="str">
        <x:f>IF(A355="","",IF(OR(E355="Manipulação do corpo",E355="Velório/funeral",E355="Sepultamento",E355="Limpeza/desinfecção"),"Pós-óbito",IF(OR(E355="Transporte do paciente",E355="Cuidado direto",E355="Contato com fluidos",E355="Serviço de saúde",E355="Laboratório"),"Exposição direta/assistencial","Exposição comunitária/outro")))</x:f>
      </x:c>
      <x:c r="Q355" s="16" t="str">
        <x:f>IF(A355="","",IF(P355="Pós-óbito","Sim","Não"))</x:f>
      </x:c>
    </x:row>
    <x:row r="356">
      <x:c r="A356" s="16" t="str"/>
      <x:c r="B356" s="16" t="str"/>
      <x:c r="C356" s="16" t="str"/>
      <x:c r="D356" s="28" t="str"/>
      <x:c r="E356" s="16" t="str"/>
      <x:c r="F356" s="16" t="str"/>
      <x:c r="G356" s="16" t="str"/>
      <x:c r="H356" s="16" t="str"/>
      <x:c r="I356" s="28" t="str"/>
      <x:c r="J356" s="28" t="str"/>
      <x:c r="K356" s="28" t="str"/>
      <x:c r="L356" s="16" t="str"/>
      <x:c r="M356" s="28" t="str">
        <x:f>IF(D356="","",D356+21)</x:f>
      </x:c>
      <x:c r="N356" s="16" t="str">
        <x:f>IF(M356="","",M356-TODAY())</x:f>
      </x:c>
      <x:c r="O356" s="16" t="str">
        <x:f>IF(A356="","",IF(OR(H356="Encerrado",H356="Descartado"),"Encerrado",IF(OR(H356="Sintomático",H356="Suspeito",H356="Confirmado",H356="Óbito"),"Requer avaliação/ação",IF(N356&lt;0,"Prazo concluído","Em monitoramento"))))</x:f>
      </x:c>
      <x:c r="P356" s="16" t="str">
        <x:f>IF(A356="","",IF(OR(E356="Manipulação do corpo",E356="Velório/funeral",E356="Sepultamento",E356="Limpeza/desinfecção"),"Pós-óbito",IF(OR(E356="Transporte do paciente",E356="Cuidado direto",E356="Contato com fluidos",E356="Serviço de saúde",E356="Laboratório"),"Exposição direta/assistencial","Exposição comunitária/outro")))</x:f>
      </x:c>
      <x:c r="Q356" s="16" t="str">
        <x:f>IF(A356="","",IF(P356="Pós-óbito","Sim","Não"))</x:f>
      </x:c>
    </x:row>
    <x:row r="357">
      <x:c r="A357" s="16" t="str"/>
      <x:c r="B357" s="16" t="str"/>
      <x:c r="C357" s="16" t="str"/>
      <x:c r="D357" s="28" t="str"/>
      <x:c r="E357" s="16" t="str"/>
      <x:c r="F357" s="16" t="str"/>
      <x:c r="G357" s="16" t="str"/>
      <x:c r="H357" s="16" t="str"/>
      <x:c r="I357" s="28" t="str"/>
      <x:c r="J357" s="28" t="str"/>
      <x:c r="K357" s="28" t="str"/>
      <x:c r="L357" s="16" t="str"/>
      <x:c r="M357" s="28" t="str">
        <x:f>IF(D357="","",D357+21)</x:f>
      </x:c>
      <x:c r="N357" s="16" t="str">
        <x:f>IF(M357="","",M357-TODAY())</x:f>
      </x:c>
      <x:c r="O357" s="16" t="str">
        <x:f>IF(A357="","",IF(OR(H357="Encerrado",H357="Descartado"),"Encerrado",IF(OR(H357="Sintomático",H357="Suspeito",H357="Confirmado",H357="Óbito"),"Requer avaliação/ação",IF(N357&lt;0,"Prazo concluído","Em monitoramento"))))</x:f>
      </x:c>
      <x:c r="P357" s="16" t="str">
        <x:f>IF(A357="","",IF(OR(E357="Manipulação do corpo",E357="Velório/funeral",E357="Sepultamento",E357="Limpeza/desinfecção"),"Pós-óbito",IF(OR(E357="Transporte do paciente",E357="Cuidado direto",E357="Contato com fluidos",E357="Serviço de saúde",E357="Laboratório"),"Exposição direta/assistencial","Exposição comunitária/outro")))</x:f>
      </x:c>
      <x:c r="Q357" s="16" t="str">
        <x:f>IF(A357="","",IF(P357="Pós-óbito","Sim","Não"))</x:f>
      </x:c>
    </x:row>
    <x:row r="358">
      <x:c r="A358" s="16" t="str"/>
      <x:c r="B358" s="16" t="str"/>
      <x:c r="C358" s="16" t="str"/>
      <x:c r="D358" s="28" t="str"/>
      <x:c r="E358" s="16" t="str"/>
      <x:c r="F358" s="16" t="str"/>
      <x:c r="G358" s="16" t="str"/>
      <x:c r="H358" s="16" t="str"/>
      <x:c r="I358" s="28" t="str"/>
      <x:c r="J358" s="28" t="str"/>
      <x:c r="K358" s="28" t="str"/>
      <x:c r="L358" s="16" t="str"/>
      <x:c r="M358" s="28" t="str">
        <x:f>IF(D358="","",D358+21)</x:f>
      </x:c>
      <x:c r="N358" s="16" t="str">
        <x:f>IF(M358="","",M358-TODAY())</x:f>
      </x:c>
      <x:c r="O358" s="16" t="str">
        <x:f>IF(A358="","",IF(OR(H358="Encerrado",H358="Descartado"),"Encerrado",IF(OR(H358="Sintomático",H358="Suspeito",H358="Confirmado",H358="Óbito"),"Requer avaliação/ação",IF(N358&lt;0,"Prazo concluído","Em monitoramento"))))</x:f>
      </x:c>
      <x:c r="P358" s="16" t="str">
        <x:f>IF(A358="","",IF(OR(E358="Manipulação do corpo",E358="Velório/funeral",E358="Sepultamento",E358="Limpeza/desinfecção"),"Pós-óbito",IF(OR(E358="Transporte do paciente",E358="Cuidado direto",E358="Contato com fluidos",E358="Serviço de saúde",E358="Laboratório"),"Exposição direta/assistencial","Exposição comunitária/outro")))</x:f>
      </x:c>
      <x:c r="Q358" s="16" t="str">
        <x:f>IF(A358="","",IF(P358="Pós-óbito","Sim","Não"))</x:f>
      </x:c>
    </x:row>
    <x:row r="359">
      <x:c r="A359" s="16" t="str"/>
      <x:c r="B359" s="16" t="str"/>
      <x:c r="C359" s="16" t="str"/>
      <x:c r="D359" s="28" t="str"/>
      <x:c r="E359" s="16" t="str"/>
      <x:c r="F359" s="16" t="str"/>
      <x:c r="G359" s="16" t="str"/>
      <x:c r="H359" s="16" t="str"/>
      <x:c r="I359" s="28" t="str"/>
      <x:c r="J359" s="28" t="str"/>
      <x:c r="K359" s="28" t="str"/>
      <x:c r="L359" s="16" t="str"/>
      <x:c r="M359" s="28" t="str">
        <x:f>IF(D359="","",D359+21)</x:f>
      </x:c>
      <x:c r="N359" s="16" t="str">
        <x:f>IF(M359="","",M359-TODAY())</x:f>
      </x:c>
      <x:c r="O359" s="16" t="str">
        <x:f>IF(A359="","",IF(OR(H359="Encerrado",H359="Descartado"),"Encerrado",IF(OR(H359="Sintomático",H359="Suspeito",H359="Confirmado",H359="Óbito"),"Requer avaliação/ação",IF(N359&lt;0,"Prazo concluído","Em monitoramento"))))</x:f>
      </x:c>
      <x:c r="P359" s="16" t="str">
        <x:f>IF(A359="","",IF(OR(E359="Manipulação do corpo",E359="Velório/funeral",E359="Sepultamento",E359="Limpeza/desinfecção"),"Pós-óbito",IF(OR(E359="Transporte do paciente",E359="Cuidado direto",E359="Contato com fluidos",E359="Serviço de saúde",E359="Laboratório"),"Exposição direta/assistencial","Exposição comunitária/outro")))</x:f>
      </x:c>
      <x:c r="Q359" s="16" t="str">
        <x:f>IF(A359="","",IF(P359="Pós-óbito","Sim","Não"))</x:f>
      </x:c>
    </x:row>
    <x:row r="360">
      <x:c r="A360" s="16" t="str"/>
      <x:c r="B360" s="16" t="str"/>
      <x:c r="C360" s="16" t="str"/>
      <x:c r="D360" s="28" t="str"/>
      <x:c r="E360" s="16" t="str"/>
      <x:c r="F360" s="16" t="str"/>
      <x:c r="G360" s="16" t="str"/>
      <x:c r="H360" s="16" t="str"/>
      <x:c r="I360" s="28" t="str"/>
      <x:c r="J360" s="28" t="str"/>
      <x:c r="K360" s="28" t="str"/>
      <x:c r="L360" s="16" t="str"/>
      <x:c r="M360" s="28" t="str">
        <x:f>IF(D360="","",D360+21)</x:f>
      </x:c>
      <x:c r="N360" s="16" t="str">
        <x:f>IF(M360="","",M360-TODAY())</x:f>
      </x:c>
      <x:c r="O360" s="16" t="str">
        <x:f>IF(A360="","",IF(OR(H360="Encerrado",H360="Descartado"),"Encerrado",IF(OR(H360="Sintomático",H360="Suspeito",H360="Confirmado",H360="Óbito"),"Requer avaliação/ação",IF(N360&lt;0,"Prazo concluído","Em monitoramento"))))</x:f>
      </x:c>
      <x:c r="P360" s="16" t="str">
        <x:f>IF(A360="","",IF(OR(E360="Manipulação do corpo",E360="Velório/funeral",E360="Sepultamento",E360="Limpeza/desinfecção"),"Pós-óbito",IF(OR(E360="Transporte do paciente",E360="Cuidado direto",E360="Contato com fluidos",E360="Serviço de saúde",E360="Laboratório"),"Exposição direta/assistencial","Exposição comunitária/outro")))</x:f>
      </x:c>
      <x:c r="Q360" s="16" t="str">
        <x:f>IF(A360="","",IF(P360="Pós-óbito","Sim","Não"))</x:f>
      </x:c>
    </x:row>
    <x:row r="361">
      <x:c r="A361" s="16" t="str"/>
      <x:c r="B361" s="16" t="str"/>
      <x:c r="C361" s="16" t="str"/>
      <x:c r="D361" s="28" t="str"/>
      <x:c r="E361" s="16" t="str"/>
      <x:c r="F361" s="16" t="str"/>
      <x:c r="G361" s="16" t="str"/>
      <x:c r="H361" s="16" t="str"/>
      <x:c r="I361" s="28" t="str"/>
      <x:c r="J361" s="28" t="str"/>
      <x:c r="K361" s="28" t="str"/>
      <x:c r="L361" s="16" t="str"/>
      <x:c r="M361" s="28" t="str">
        <x:f>IF(D361="","",D361+21)</x:f>
      </x:c>
      <x:c r="N361" s="16" t="str">
        <x:f>IF(M361="","",M361-TODAY())</x:f>
      </x:c>
      <x:c r="O361" s="16" t="str">
        <x:f>IF(A361="","",IF(OR(H361="Encerrado",H361="Descartado"),"Encerrado",IF(OR(H361="Sintomático",H361="Suspeito",H361="Confirmado",H361="Óbito"),"Requer avaliação/ação",IF(N361&lt;0,"Prazo concluído","Em monitoramento"))))</x:f>
      </x:c>
      <x:c r="P361" s="16" t="str">
        <x:f>IF(A361="","",IF(OR(E361="Manipulação do corpo",E361="Velório/funeral",E361="Sepultamento",E361="Limpeza/desinfecção"),"Pós-óbito",IF(OR(E361="Transporte do paciente",E361="Cuidado direto",E361="Contato com fluidos",E361="Serviço de saúde",E361="Laboratório"),"Exposição direta/assistencial","Exposição comunitária/outro")))</x:f>
      </x:c>
      <x:c r="Q361" s="16" t="str">
        <x:f>IF(A361="","",IF(P361="Pós-óbito","Sim","Não"))</x:f>
      </x:c>
    </x:row>
    <x:row r="362">
      <x:c r="A362" s="16" t="str"/>
      <x:c r="B362" s="16" t="str"/>
      <x:c r="C362" s="16" t="str"/>
      <x:c r="D362" s="28" t="str"/>
      <x:c r="E362" s="16" t="str"/>
      <x:c r="F362" s="16" t="str"/>
      <x:c r="G362" s="16" t="str"/>
      <x:c r="H362" s="16" t="str"/>
      <x:c r="I362" s="28" t="str"/>
      <x:c r="J362" s="28" t="str"/>
      <x:c r="K362" s="28" t="str"/>
      <x:c r="L362" s="16" t="str"/>
      <x:c r="M362" s="28" t="str">
        <x:f>IF(D362="","",D362+21)</x:f>
      </x:c>
      <x:c r="N362" s="16" t="str">
        <x:f>IF(M362="","",M362-TODAY())</x:f>
      </x:c>
      <x:c r="O362" s="16" t="str">
        <x:f>IF(A362="","",IF(OR(H362="Encerrado",H362="Descartado"),"Encerrado",IF(OR(H362="Sintomático",H362="Suspeito",H362="Confirmado",H362="Óbito"),"Requer avaliação/ação",IF(N362&lt;0,"Prazo concluído","Em monitoramento"))))</x:f>
      </x:c>
      <x:c r="P362" s="16" t="str">
        <x:f>IF(A362="","",IF(OR(E362="Manipulação do corpo",E362="Velório/funeral",E362="Sepultamento",E362="Limpeza/desinfecção"),"Pós-óbito",IF(OR(E362="Transporte do paciente",E362="Cuidado direto",E362="Contato com fluidos",E362="Serviço de saúde",E362="Laboratório"),"Exposição direta/assistencial","Exposição comunitária/outro")))</x:f>
      </x:c>
      <x:c r="Q362" s="16" t="str">
        <x:f>IF(A362="","",IF(P362="Pós-óbito","Sim","Não"))</x:f>
      </x:c>
    </x:row>
    <x:row r="363">
      <x:c r="A363" s="16" t="str"/>
      <x:c r="B363" s="16" t="str"/>
      <x:c r="C363" s="16" t="str"/>
      <x:c r="D363" s="28" t="str"/>
      <x:c r="E363" s="16" t="str"/>
      <x:c r="F363" s="16" t="str"/>
      <x:c r="G363" s="16" t="str"/>
      <x:c r="H363" s="16" t="str"/>
      <x:c r="I363" s="28" t="str"/>
      <x:c r="J363" s="28" t="str"/>
      <x:c r="K363" s="28" t="str"/>
      <x:c r="L363" s="16" t="str"/>
      <x:c r="M363" s="28" t="str">
        <x:f>IF(D363="","",D363+21)</x:f>
      </x:c>
      <x:c r="N363" s="16" t="str">
        <x:f>IF(M363="","",M363-TODAY())</x:f>
      </x:c>
      <x:c r="O363" s="16" t="str">
        <x:f>IF(A363="","",IF(OR(H363="Encerrado",H363="Descartado"),"Encerrado",IF(OR(H363="Sintomático",H363="Suspeito",H363="Confirmado",H363="Óbito"),"Requer avaliação/ação",IF(N363&lt;0,"Prazo concluído","Em monitoramento"))))</x:f>
      </x:c>
      <x:c r="P363" s="16" t="str">
        <x:f>IF(A363="","",IF(OR(E363="Manipulação do corpo",E363="Velório/funeral",E363="Sepultamento",E363="Limpeza/desinfecção"),"Pós-óbito",IF(OR(E363="Transporte do paciente",E363="Cuidado direto",E363="Contato com fluidos",E363="Serviço de saúde",E363="Laboratório"),"Exposição direta/assistencial","Exposição comunitária/outro")))</x:f>
      </x:c>
      <x:c r="Q363" s="16" t="str">
        <x:f>IF(A363="","",IF(P363="Pós-óbito","Sim","Não"))</x:f>
      </x:c>
    </x:row>
    <x:row r="364">
      <x:c r="A364" s="16" t="str"/>
      <x:c r="B364" s="16" t="str"/>
      <x:c r="C364" s="16" t="str"/>
      <x:c r="D364" s="28" t="str"/>
      <x:c r="E364" s="16" t="str"/>
      <x:c r="F364" s="16" t="str"/>
      <x:c r="G364" s="16" t="str"/>
      <x:c r="H364" s="16" t="str"/>
      <x:c r="I364" s="28" t="str"/>
      <x:c r="J364" s="28" t="str"/>
      <x:c r="K364" s="28" t="str"/>
      <x:c r="L364" s="16" t="str"/>
      <x:c r="M364" s="28" t="str">
        <x:f>IF(D364="","",D364+21)</x:f>
      </x:c>
      <x:c r="N364" s="16" t="str">
        <x:f>IF(M364="","",M364-TODAY())</x:f>
      </x:c>
      <x:c r="O364" s="16" t="str">
        <x:f>IF(A364="","",IF(OR(H364="Encerrado",H364="Descartado"),"Encerrado",IF(OR(H364="Sintomático",H364="Suspeito",H364="Confirmado",H364="Óbito"),"Requer avaliação/ação",IF(N364&lt;0,"Prazo concluído","Em monitoramento"))))</x:f>
      </x:c>
      <x:c r="P364" s="16" t="str">
        <x:f>IF(A364="","",IF(OR(E364="Manipulação do corpo",E364="Velório/funeral",E364="Sepultamento",E364="Limpeza/desinfecção"),"Pós-óbito",IF(OR(E364="Transporte do paciente",E364="Cuidado direto",E364="Contato com fluidos",E364="Serviço de saúde",E364="Laboratório"),"Exposição direta/assistencial","Exposição comunitária/outro")))</x:f>
      </x:c>
      <x:c r="Q364" s="16" t="str">
        <x:f>IF(A364="","",IF(P364="Pós-óbito","Sim","Não"))</x:f>
      </x:c>
    </x:row>
    <x:row r="365">
      <x:c r="A365" s="16" t="str"/>
      <x:c r="B365" s="16" t="str"/>
      <x:c r="C365" s="16" t="str"/>
      <x:c r="D365" s="28" t="str"/>
      <x:c r="E365" s="16" t="str"/>
      <x:c r="F365" s="16" t="str"/>
      <x:c r="G365" s="16" t="str"/>
      <x:c r="H365" s="16" t="str"/>
      <x:c r="I365" s="28" t="str"/>
      <x:c r="J365" s="28" t="str"/>
      <x:c r="K365" s="28" t="str"/>
      <x:c r="L365" s="16" t="str"/>
      <x:c r="M365" s="28" t="str">
        <x:f>IF(D365="","",D365+21)</x:f>
      </x:c>
      <x:c r="N365" s="16" t="str">
        <x:f>IF(M365="","",M365-TODAY())</x:f>
      </x:c>
      <x:c r="O365" s="16" t="str">
        <x:f>IF(A365="","",IF(OR(H365="Encerrado",H365="Descartado"),"Encerrado",IF(OR(H365="Sintomático",H365="Suspeito",H365="Confirmado",H365="Óbito"),"Requer avaliação/ação",IF(N365&lt;0,"Prazo concluído","Em monitoramento"))))</x:f>
      </x:c>
      <x:c r="P365" s="16" t="str">
        <x:f>IF(A365="","",IF(OR(E365="Manipulação do corpo",E365="Velório/funeral",E365="Sepultamento",E365="Limpeza/desinfecção"),"Pós-óbito",IF(OR(E365="Transporte do paciente",E365="Cuidado direto",E365="Contato com fluidos",E365="Serviço de saúde",E365="Laboratório"),"Exposição direta/assistencial","Exposição comunitária/outro")))</x:f>
      </x:c>
      <x:c r="Q365" s="16" t="str">
        <x:f>IF(A365="","",IF(P365="Pós-óbito","Sim","Não"))</x:f>
      </x:c>
    </x:row>
    <x:row r="366">
      <x:c r="A366" s="16" t="str"/>
      <x:c r="B366" s="16" t="str"/>
      <x:c r="C366" s="16" t="str"/>
      <x:c r="D366" s="28" t="str"/>
      <x:c r="E366" s="16" t="str"/>
      <x:c r="F366" s="16" t="str"/>
      <x:c r="G366" s="16" t="str"/>
      <x:c r="H366" s="16" t="str"/>
      <x:c r="I366" s="28" t="str"/>
      <x:c r="J366" s="28" t="str"/>
      <x:c r="K366" s="28" t="str"/>
      <x:c r="L366" s="16" t="str"/>
      <x:c r="M366" s="28" t="str">
        <x:f>IF(D366="","",D366+21)</x:f>
      </x:c>
      <x:c r="N366" s="16" t="str">
        <x:f>IF(M366="","",M366-TODAY())</x:f>
      </x:c>
      <x:c r="O366" s="16" t="str">
        <x:f>IF(A366="","",IF(OR(H366="Encerrado",H366="Descartado"),"Encerrado",IF(OR(H366="Sintomático",H366="Suspeito",H366="Confirmado",H366="Óbito"),"Requer avaliação/ação",IF(N366&lt;0,"Prazo concluído","Em monitoramento"))))</x:f>
      </x:c>
      <x:c r="P366" s="16" t="str">
        <x:f>IF(A366="","",IF(OR(E366="Manipulação do corpo",E366="Velório/funeral",E366="Sepultamento",E366="Limpeza/desinfecção"),"Pós-óbito",IF(OR(E366="Transporte do paciente",E366="Cuidado direto",E366="Contato com fluidos",E366="Serviço de saúde",E366="Laboratório"),"Exposição direta/assistencial","Exposição comunitária/outro")))</x:f>
      </x:c>
      <x:c r="Q366" s="16" t="str">
        <x:f>IF(A366="","",IF(P366="Pós-óbito","Sim","Não"))</x:f>
      </x:c>
    </x:row>
    <x:row r="367">
      <x:c r="A367" s="16" t="str"/>
      <x:c r="B367" s="16" t="str"/>
      <x:c r="C367" s="16" t="str"/>
      <x:c r="D367" s="28" t="str"/>
      <x:c r="E367" s="16" t="str"/>
      <x:c r="F367" s="16" t="str"/>
      <x:c r="G367" s="16" t="str"/>
      <x:c r="H367" s="16" t="str"/>
      <x:c r="I367" s="28" t="str"/>
      <x:c r="J367" s="28" t="str"/>
      <x:c r="K367" s="28" t="str"/>
      <x:c r="L367" s="16" t="str"/>
      <x:c r="M367" s="28" t="str">
        <x:f>IF(D367="","",D367+21)</x:f>
      </x:c>
      <x:c r="N367" s="16" t="str">
        <x:f>IF(M367="","",M367-TODAY())</x:f>
      </x:c>
      <x:c r="O367" s="16" t="str">
        <x:f>IF(A367="","",IF(OR(H367="Encerrado",H367="Descartado"),"Encerrado",IF(OR(H367="Sintomático",H367="Suspeito",H367="Confirmado",H367="Óbito"),"Requer avaliação/ação",IF(N367&lt;0,"Prazo concluído","Em monitoramento"))))</x:f>
      </x:c>
      <x:c r="P367" s="16" t="str">
        <x:f>IF(A367="","",IF(OR(E367="Manipulação do corpo",E367="Velório/funeral",E367="Sepultamento",E367="Limpeza/desinfecção"),"Pós-óbito",IF(OR(E367="Transporte do paciente",E367="Cuidado direto",E367="Contato com fluidos",E367="Serviço de saúde",E367="Laboratório"),"Exposição direta/assistencial","Exposição comunitária/outro")))</x:f>
      </x:c>
      <x:c r="Q367" s="16" t="str">
        <x:f>IF(A367="","",IF(P367="Pós-óbito","Sim","Não"))</x:f>
      </x:c>
    </x:row>
    <x:row r="368">
      <x:c r="A368" s="16" t="str"/>
      <x:c r="B368" s="16" t="str"/>
      <x:c r="C368" s="16" t="str"/>
      <x:c r="D368" s="28" t="str"/>
      <x:c r="E368" s="16" t="str"/>
      <x:c r="F368" s="16" t="str"/>
      <x:c r="G368" s="16" t="str"/>
      <x:c r="H368" s="16" t="str"/>
      <x:c r="I368" s="28" t="str"/>
      <x:c r="J368" s="28" t="str"/>
      <x:c r="K368" s="28" t="str"/>
      <x:c r="L368" s="16" t="str"/>
      <x:c r="M368" s="28" t="str">
        <x:f>IF(D368="","",D368+21)</x:f>
      </x:c>
      <x:c r="N368" s="16" t="str">
        <x:f>IF(M368="","",M368-TODAY())</x:f>
      </x:c>
      <x:c r="O368" s="16" t="str">
        <x:f>IF(A368="","",IF(OR(H368="Encerrado",H368="Descartado"),"Encerrado",IF(OR(H368="Sintomático",H368="Suspeito",H368="Confirmado",H368="Óbito"),"Requer avaliação/ação",IF(N368&lt;0,"Prazo concluído","Em monitoramento"))))</x:f>
      </x:c>
      <x:c r="P368" s="16" t="str">
        <x:f>IF(A368="","",IF(OR(E368="Manipulação do corpo",E368="Velório/funeral",E368="Sepultamento",E368="Limpeza/desinfecção"),"Pós-óbito",IF(OR(E368="Transporte do paciente",E368="Cuidado direto",E368="Contato com fluidos",E368="Serviço de saúde",E368="Laboratório"),"Exposição direta/assistencial","Exposição comunitária/outro")))</x:f>
      </x:c>
      <x:c r="Q368" s="16" t="str">
        <x:f>IF(A368="","",IF(P368="Pós-óbito","Sim","Não"))</x:f>
      </x:c>
    </x:row>
    <x:row r="369">
      <x:c r="A369" s="16" t="str"/>
      <x:c r="B369" s="16" t="str"/>
      <x:c r="C369" s="16" t="str"/>
      <x:c r="D369" s="28" t="str"/>
      <x:c r="E369" s="16" t="str"/>
      <x:c r="F369" s="16" t="str"/>
      <x:c r="G369" s="16" t="str"/>
      <x:c r="H369" s="16" t="str"/>
      <x:c r="I369" s="28" t="str"/>
      <x:c r="J369" s="28" t="str"/>
      <x:c r="K369" s="28" t="str"/>
      <x:c r="L369" s="16" t="str"/>
      <x:c r="M369" s="28" t="str">
        <x:f>IF(D369="","",D369+21)</x:f>
      </x:c>
      <x:c r="N369" s="16" t="str">
        <x:f>IF(M369="","",M369-TODAY())</x:f>
      </x:c>
      <x:c r="O369" s="16" t="str">
        <x:f>IF(A369="","",IF(OR(H369="Encerrado",H369="Descartado"),"Encerrado",IF(OR(H369="Sintomático",H369="Suspeito",H369="Confirmado",H369="Óbito"),"Requer avaliação/ação",IF(N369&lt;0,"Prazo concluído","Em monitoramento"))))</x:f>
      </x:c>
      <x:c r="P369" s="16" t="str">
        <x:f>IF(A369="","",IF(OR(E369="Manipulação do corpo",E369="Velório/funeral",E369="Sepultamento",E369="Limpeza/desinfecção"),"Pós-óbito",IF(OR(E369="Transporte do paciente",E369="Cuidado direto",E369="Contato com fluidos",E369="Serviço de saúde",E369="Laboratório"),"Exposição direta/assistencial","Exposição comunitária/outro")))</x:f>
      </x:c>
      <x:c r="Q369" s="16" t="str">
        <x:f>IF(A369="","",IF(P369="Pós-óbito","Sim","Não"))</x:f>
      </x:c>
    </x:row>
    <x:row r="370">
      <x:c r="A370" s="16" t="str"/>
      <x:c r="B370" s="16" t="str"/>
      <x:c r="C370" s="16" t="str"/>
      <x:c r="D370" s="28" t="str"/>
      <x:c r="E370" s="16" t="str"/>
      <x:c r="F370" s="16" t="str"/>
      <x:c r="G370" s="16" t="str"/>
      <x:c r="H370" s="16" t="str"/>
      <x:c r="I370" s="28" t="str"/>
      <x:c r="J370" s="28" t="str"/>
      <x:c r="K370" s="28" t="str"/>
      <x:c r="L370" s="16" t="str"/>
      <x:c r="M370" s="28" t="str">
        <x:f>IF(D370="","",D370+21)</x:f>
      </x:c>
      <x:c r="N370" s="16" t="str">
        <x:f>IF(M370="","",M370-TODAY())</x:f>
      </x:c>
      <x:c r="O370" s="16" t="str">
        <x:f>IF(A370="","",IF(OR(H370="Encerrado",H370="Descartado"),"Encerrado",IF(OR(H370="Sintomático",H370="Suspeito",H370="Confirmado",H370="Óbito"),"Requer avaliação/ação",IF(N370&lt;0,"Prazo concluído","Em monitoramento"))))</x:f>
      </x:c>
      <x:c r="P370" s="16" t="str">
        <x:f>IF(A370="","",IF(OR(E370="Manipulação do corpo",E370="Velório/funeral",E370="Sepultamento",E370="Limpeza/desinfecção"),"Pós-óbito",IF(OR(E370="Transporte do paciente",E370="Cuidado direto",E370="Contato com fluidos",E370="Serviço de saúde",E370="Laboratório"),"Exposição direta/assistencial","Exposição comunitária/outro")))</x:f>
      </x:c>
      <x:c r="Q370" s="16" t="str">
        <x:f>IF(A370="","",IF(P370="Pós-óbito","Sim","Não"))</x:f>
      </x:c>
    </x:row>
    <x:row r="371">
      <x:c r="A371" s="16" t="str"/>
      <x:c r="B371" s="16" t="str"/>
      <x:c r="C371" s="16" t="str"/>
      <x:c r="D371" s="28" t="str"/>
      <x:c r="E371" s="16" t="str"/>
      <x:c r="F371" s="16" t="str"/>
      <x:c r="G371" s="16" t="str"/>
      <x:c r="H371" s="16" t="str"/>
      <x:c r="I371" s="28" t="str"/>
      <x:c r="J371" s="28" t="str"/>
      <x:c r="K371" s="28" t="str"/>
      <x:c r="L371" s="16" t="str"/>
      <x:c r="M371" s="28" t="str">
        <x:f>IF(D371="","",D371+21)</x:f>
      </x:c>
      <x:c r="N371" s="16" t="str">
        <x:f>IF(M371="","",M371-TODAY())</x:f>
      </x:c>
      <x:c r="O371" s="16" t="str">
        <x:f>IF(A371="","",IF(OR(H371="Encerrado",H371="Descartado"),"Encerrado",IF(OR(H371="Sintomático",H371="Suspeito",H371="Confirmado",H371="Óbito"),"Requer avaliação/ação",IF(N371&lt;0,"Prazo concluído","Em monitoramento"))))</x:f>
      </x:c>
      <x:c r="P371" s="16" t="str">
        <x:f>IF(A371="","",IF(OR(E371="Manipulação do corpo",E371="Velório/funeral",E371="Sepultamento",E371="Limpeza/desinfecção"),"Pós-óbito",IF(OR(E371="Transporte do paciente",E371="Cuidado direto",E371="Contato com fluidos",E371="Serviço de saúde",E371="Laboratório"),"Exposição direta/assistencial","Exposição comunitária/outro")))</x:f>
      </x:c>
      <x:c r="Q371" s="16" t="str">
        <x:f>IF(A371="","",IF(P371="Pós-óbito","Sim","Não"))</x:f>
      </x:c>
    </x:row>
    <x:row r="372">
      <x:c r="A372" s="16" t="str"/>
      <x:c r="B372" s="16" t="str"/>
      <x:c r="C372" s="16" t="str"/>
      <x:c r="D372" s="28" t="str"/>
      <x:c r="E372" s="16" t="str"/>
      <x:c r="F372" s="16" t="str"/>
      <x:c r="G372" s="16" t="str"/>
      <x:c r="H372" s="16" t="str"/>
      <x:c r="I372" s="28" t="str"/>
      <x:c r="J372" s="28" t="str"/>
      <x:c r="K372" s="28" t="str"/>
      <x:c r="L372" s="16" t="str"/>
      <x:c r="M372" s="28" t="str">
        <x:f>IF(D372="","",D372+21)</x:f>
      </x:c>
      <x:c r="N372" s="16" t="str">
        <x:f>IF(M372="","",M372-TODAY())</x:f>
      </x:c>
      <x:c r="O372" s="16" t="str">
        <x:f>IF(A372="","",IF(OR(H372="Encerrado",H372="Descartado"),"Encerrado",IF(OR(H372="Sintomático",H372="Suspeito",H372="Confirmado",H372="Óbito"),"Requer avaliação/ação",IF(N372&lt;0,"Prazo concluído","Em monitoramento"))))</x:f>
      </x:c>
      <x:c r="P372" s="16" t="str">
        <x:f>IF(A372="","",IF(OR(E372="Manipulação do corpo",E372="Velório/funeral",E372="Sepultamento",E372="Limpeza/desinfecção"),"Pós-óbito",IF(OR(E372="Transporte do paciente",E372="Cuidado direto",E372="Contato com fluidos",E372="Serviço de saúde",E372="Laboratório"),"Exposição direta/assistencial","Exposição comunitária/outro")))</x:f>
      </x:c>
      <x:c r="Q372" s="16" t="str">
        <x:f>IF(A372="","",IF(P372="Pós-óbito","Sim","Não"))</x:f>
      </x:c>
    </x:row>
    <x:row r="373">
      <x:c r="A373" s="16" t="str"/>
      <x:c r="B373" s="16" t="str"/>
      <x:c r="C373" s="16" t="str"/>
      <x:c r="D373" s="28" t="str"/>
      <x:c r="E373" s="16" t="str"/>
      <x:c r="F373" s="16" t="str"/>
      <x:c r="G373" s="16" t="str"/>
      <x:c r="H373" s="16" t="str"/>
      <x:c r="I373" s="28" t="str"/>
      <x:c r="J373" s="28" t="str"/>
      <x:c r="K373" s="28" t="str"/>
      <x:c r="L373" s="16" t="str"/>
      <x:c r="M373" s="28" t="str">
        <x:f>IF(D373="","",D373+21)</x:f>
      </x:c>
      <x:c r="N373" s="16" t="str">
        <x:f>IF(M373="","",M373-TODAY())</x:f>
      </x:c>
      <x:c r="O373" s="16" t="str">
        <x:f>IF(A373="","",IF(OR(H373="Encerrado",H373="Descartado"),"Encerrado",IF(OR(H373="Sintomático",H373="Suspeito",H373="Confirmado",H373="Óbito"),"Requer avaliação/ação",IF(N373&lt;0,"Prazo concluído","Em monitoramento"))))</x:f>
      </x:c>
      <x:c r="P373" s="16" t="str">
        <x:f>IF(A373="","",IF(OR(E373="Manipulação do corpo",E373="Velório/funeral",E373="Sepultamento",E373="Limpeza/desinfecção"),"Pós-óbito",IF(OR(E373="Transporte do paciente",E373="Cuidado direto",E373="Contato com fluidos",E373="Serviço de saúde",E373="Laboratório"),"Exposição direta/assistencial","Exposição comunitária/outro")))</x:f>
      </x:c>
      <x:c r="Q373" s="16" t="str">
        <x:f>IF(A373="","",IF(P373="Pós-óbito","Sim","Não"))</x:f>
      </x:c>
    </x:row>
    <x:row r="374">
      <x:c r="A374" s="16" t="str"/>
      <x:c r="B374" s="16" t="str"/>
      <x:c r="C374" s="16" t="str"/>
      <x:c r="D374" s="28" t="str"/>
      <x:c r="E374" s="16" t="str"/>
      <x:c r="F374" s="16" t="str"/>
      <x:c r="G374" s="16" t="str"/>
      <x:c r="H374" s="16" t="str"/>
      <x:c r="I374" s="28" t="str"/>
      <x:c r="J374" s="28" t="str"/>
      <x:c r="K374" s="28" t="str"/>
      <x:c r="L374" s="16" t="str"/>
      <x:c r="M374" s="28" t="str">
        <x:f>IF(D374="","",D374+21)</x:f>
      </x:c>
      <x:c r="N374" s="16" t="str">
        <x:f>IF(M374="","",M374-TODAY())</x:f>
      </x:c>
      <x:c r="O374" s="16" t="str">
        <x:f>IF(A374="","",IF(OR(H374="Encerrado",H374="Descartado"),"Encerrado",IF(OR(H374="Sintomático",H374="Suspeito",H374="Confirmado",H374="Óbito"),"Requer avaliação/ação",IF(N374&lt;0,"Prazo concluído","Em monitoramento"))))</x:f>
      </x:c>
      <x:c r="P374" s="16" t="str">
        <x:f>IF(A374="","",IF(OR(E374="Manipulação do corpo",E374="Velório/funeral",E374="Sepultamento",E374="Limpeza/desinfecção"),"Pós-óbito",IF(OR(E374="Transporte do paciente",E374="Cuidado direto",E374="Contato com fluidos",E374="Serviço de saúde",E374="Laboratório"),"Exposição direta/assistencial","Exposição comunitária/outro")))</x:f>
      </x:c>
      <x:c r="Q374" s="16" t="str">
        <x:f>IF(A374="","",IF(P374="Pós-óbito","Sim","Não"))</x:f>
      </x:c>
    </x:row>
    <x:row r="375">
      <x:c r="A375" s="16" t="str"/>
      <x:c r="B375" s="16" t="str"/>
      <x:c r="C375" s="16" t="str"/>
      <x:c r="D375" s="28" t="str"/>
      <x:c r="E375" s="16" t="str"/>
      <x:c r="F375" s="16" t="str"/>
      <x:c r="G375" s="16" t="str"/>
      <x:c r="H375" s="16" t="str"/>
      <x:c r="I375" s="28" t="str"/>
      <x:c r="J375" s="28" t="str"/>
      <x:c r="K375" s="28" t="str"/>
      <x:c r="L375" s="16" t="str"/>
      <x:c r="M375" s="28" t="str">
        <x:f>IF(D375="","",D375+21)</x:f>
      </x:c>
      <x:c r="N375" s="16" t="str">
        <x:f>IF(M375="","",M375-TODAY())</x:f>
      </x:c>
      <x:c r="O375" s="16" t="str">
        <x:f>IF(A375="","",IF(OR(H375="Encerrado",H375="Descartado"),"Encerrado",IF(OR(H375="Sintomático",H375="Suspeito",H375="Confirmado",H375="Óbito"),"Requer avaliação/ação",IF(N375&lt;0,"Prazo concluído","Em monitoramento"))))</x:f>
      </x:c>
      <x:c r="P375" s="16" t="str">
        <x:f>IF(A375="","",IF(OR(E375="Manipulação do corpo",E375="Velório/funeral",E375="Sepultamento",E375="Limpeza/desinfecção"),"Pós-óbito",IF(OR(E375="Transporte do paciente",E375="Cuidado direto",E375="Contato com fluidos",E375="Serviço de saúde",E375="Laboratório"),"Exposição direta/assistencial","Exposição comunitária/outro")))</x:f>
      </x:c>
      <x:c r="Q375" s="16" t="str">
        <x:f>IF(A375="","",IF(P375="Pós-óbito","Sim","Não"))</x:f>
      </x:c>
    </x:row>
    <x:row r="376">
      <x:c r="A376" s="16" t="str"/>
      <x:c r="B376" s="16" t="str"/>
      <x:c r="C376" s="16" t="str"/>
      <x:c r="D376" s="28" t="str"/>
      <x:c r="E376" s="16" t="str"/>
      <x:c r="F376" s="16" t="str"/>
      <x:c r="G376" s="16" t="str"/>
      <x:c r="H376" s="16" t="str"/>
      <x:c r="I376" s="28" t="str"/>
      <x:c r="J376" s="28" t="str"/>
      <x:c r="K376" s="28" t="str"/>
      <x:c r="L376" s="16" t="str"/>
      <x:c r="M376" s="28" t="str">
        <x:f>IF(D376="","",D376+21)</x:f>
      </x:c>
      <x:c r="N376" s="16" t="str">
        <x:f>IF(M376="","",M376-TODAY())</x:f>
      </x:c>
      <x:c r="O376" s="16" t="str">
        <x:f>IF(A376="","",IF(OR(H376="Encerrado",H376="Descartado"),"Encerrado",IF(OR(H376="Sintomático",H376="Suspeito",H376="Confirmado",H376="Óbito"),"Requer avaliação/ação",IF(N376&lt;0,"Prazo concluído","Em monitoramento"))))</x:f>
      </x:c>
      <x:c r="P376" s="16" t="str">
        <x:f>IF(A376="","",IF(OR(E376="Manipulação do corpo",E376="Velório/funeral",E376="Sepultamento",E376="Limpeza/desinfecção"),"Pós-óbito",IF(OR(E376="Transporte do paciente",E376="Cuidado direto",E376="Contato com fluidos",E376="Serviço de saúde",E376="Laboratório"),"Exposição direta/assistencial","Exposição comunitária/outro")))</x:f>
      </x:c>
      <x:c r="Q376" s="16" t="str">
        <x:f>IF(A376="","",IF(P376="Pós-óbito","Sim","Não"))</x:f>
      </x:c>
    </x:row>
    <x:row r="377">
      <x:c r="A377" s="16" t="str"/>
      <x:c r="B377" s="16" t="str"/>
      <x:c r="C377" s="16" t="str"/>
      <x:c r="D377" s="28" t="str"/>
      <x:c r="E377" s="16" t="str"/>
      <x:c r="F377" s="16" t="str"/>
      <x:c r="G377" s="16" t="str"/>
      <x:c r="H377" s="16" t="str"/>
      <x:c r="I377" s="28" t="str"/>
      <x:c r="J377" s="28" t="str"/>
      <x:c r="K377" s="28" t="str"/>
      <x:c r="L377" s="16" t="str"/>
      <x:c r="M377" s="28" t="str">
        <x:f>IF(D377="","",D377+21)</x:f>
      </x:c>
      <x:c r="N377" s="16" t="str">
        <x:f>IF(M377="","",M377-TODAY())</x:f>
      </x:c>
      <x:c r="O377" s="16" t="str">
        <x:f>IF(A377="","",IF(OR(H377="Encerrado",H377="Descartado"),"Encerrado",IF(OR(H377="Sintomático",H377="Suspeito",H377="Confirmado",H377="Óbito"),"Requer avaliação/ação",IF(N377&lt;0,"Prazo concluído","Em monitoramento"))))</x:f>
      </x:c>
      <x:c r="P377" s="16" t="str">
        <x:f>IF(A377="","",IF(OR(E377="Manipulação do corpo",E377="Velório/funeral",E377="Sepultamento",E377="Limpeza/desinfecção"),"Pós-óbito",IF(OR(E377="Transporte do paciente",E377="Cuidado direto",E377="Contato com fluidos",E377="Serviço de saúde",E377="Laboratório"),"Exposição direta/assistencial","Exposição comunitária/outro")))</x:f>
      </x:c>
      <x:c r="Q377" s="16" t="str">
        <x:f>IF(A377="","",IF(P377="Pós-óbito","Sim","Não"))</x:f>
      </x:c>
    </x:row>
    <x:row r="378">
      <x:c r="A378" s="16" t="str"/>
      <x:c r="B378" s="16" t="str"/>
      <x:c r="C378" s="16" t="str"/>
      <x:c r="D378" s="28" t="str"/>
      <x:c r="E378" s="16" t="str"/>
      <x:c r="F378" s="16" t="str"/>
      <x:c r="G378" s="16" t="str"/>
      <x:c r="H378" s="16" t="str"/>
      <x:c r="I378" s="28" t="str"/>
      <x:c r="J378" s="28" t="str"/>
      <x:c r="K378" s="28" t="str"/>
      <x:c r="L378" s="16" t="str"/>
      <x:c r="M378" s="28" t="str">
        <x:f>IF(D378="","",D378+21)</x:f>
      </x:c>
      <x:c r="N378" s="16" t="str">
        <x:f>IF(M378="","",M378-TODAY())</x:f>
      </x:c>
      <x:c r="O378" s="16" t="str">
        <x:f>IF(A378="","",IF(OR(H378="Encerrado",H378="Descartado"),"Encerrado",IF(OR(H378="Sintomático",H378="Suspeito",H378="Confirmado",H378="Óbito"),"Requer avaliação/ação",IF(N378&lt;0,"Prazo concluído","Em monitoramento"))))</x:f>
      </x:c>
      <x:c r="P378" s="16" t="str">
        <x:f>IF(A378="","",IF(OR(E378="Manipulação do corpo",E378="Velório/funeral",E378="Sepultamento",E378="Limpeza/desinfecção"),"Pós-óbito",IF(OR(E378="Transporte do paciente",E378="Cuidado direto",E378="Contato com fluidos",E378="Serviço de saúde",E378="Laboratório"),"Exposição direta/assistencial","Exposição comunitária/outro")))</x:f>
      </x:c>
      <x:c r="Q378" s="16" t="str">
        <x:f>IF(A378="","",IF(P378="Pós-óbito","Sim","Não"))</x:f>
      </x:c>
    </x:row>
    <x:row r="379">
      <x:c r="A379" s="16" t="str"/>
      <x:c r="B379" s="16" t="str"/>
      <x:c r="C379" s="16" t="str"/>
      <x:c r="D379" s="28" t="str"/>
      <x:c r="E379" s="16" t="str"/>
      <x:c r="F379" s="16" t="str"/>
      <x:c r="G379" s="16" t="str"/>
      <x:c r="H379" s="16" t="str"/>
      <x:c r="I379" s="28" t="str"/>
      <x:c r="J379" s="28" t="str"/>
      <x:c r="K379" s="28" t="str"/>
      <x:c r="L379" s="16" t="str"/>
      <x:c r="M379" s="28" t="str">
        <x:f>IF(D379="","",D379+21)</x:f>
      </x:c>
      <x:c r="N379" s="16" t="str">
        <x:f>IF(M379="","",M379-TODAY())</x:f>
      </x:c>
      <x:c r="O379" s="16" t="str">
        <x:f>IF(A379="","",IF(OR(H379="Encerrado",H379="Descartado"),"Encerrado",IF(OR(H379="Sintomático",H379="Suspeito",H379="Confirmado",H379="Óbito"),"Requer avaliação/ação",IF(N379&lt;0,"Prazo concluído","Em monitoramento"))))</x:f>
      </x:c>
      <x:c r="P379" s="16" t="str">
        <x:f>IF(A379="","",IF(OR(E379="Manipulação do corpo",E379="Velório/funeral",E379="Sepultamento",E379="Limpeza/desinfecção"),"Pós-óbito",IF(OR(E379="Transporte do paciente",E379="Cuidado direto",E379="Contato com fluidos",E379="Serviço de saúde",E379="Laboratório"),"Exposição direta/assistencial","Exposição comunitária/outro")))</x:f>
      </x:c>
      <x:c r="Q379" s="16" t="str">
        <x:f>IF(A379="","",IF(P379="Pós-óbito","Sim","Não"))</x:f>
      </x:c>
    </x:row>
    <x:row r="380">
      <x:c r="A380" s="16" t="str"/>
      <x:c r="B380" s="16" t="str"/>
      <x:c r="C380" s="16" t="str"/>
      <x:c r="D380" s="28" t="str"/>
      <x:c r="E380" s="16" t="str"/>
      <x:c r="F380" s="16" t="str"/>
      <x:c r="G380" s="16" t="str"/>
      <x:c r="H380" s="16" t="str"/>
      <x:c r="I380" s="28" t="str"/>
      <x:c r="J380" s="28" t="str"/>
      <x:c r="K380" s="28" t="str"/>
      <x:c r="L380" s="16" t="str"/>
      <x:c r="M380" s="28" t="str">
        <x:f>IF(D380="","",D380+21)</x:f>
      </x:c>
      <x:c r="N380" s="16" t="str">
        <x:f>IF(M380="","",M380-TODAY())</x:f>
      </x:c>
      <x:c r="O380" s="16" t="str">
        <x:f>IF(A380="","",IF(OR(H380="Encerrado",H380="Descartado"),"Encerrado",IF(OR(H380="Sintomático",H380="Suspeito",H380="Confirmado",H380="Óbito"),"Requer avaliação/ação",IF(N380&lt;0,"Prazo concluído","Em monitoramento"))))</x:f>
      </x:c>
      <x:c r="P380" s="16" t="str">
        <x:f>IF(A380="","",IF(OR(E380="Manipulação do corpo",E380="Velório/funeral",E380="Sepultamento",E380="Limpeza/desinfecção"),"Pós-óbito",IF(OR(E380="Transporte do paciente",E380="Cuidado direto",E380="Contato com fluidos",E380="Serviço de saúde",E380="Laboratório"),"Exposição direta/assistencial","Exposição comunitária/outro")))</x:f>
      </x:c>
      <x:c r="Q380" s="16" t="str">
        <x:f>IF(A380="","",IF(P380="Pós-óbito","Sim","Não"))</x:f>
      </x:c>
    </x:row>
    <x:row r="381">
      <x:c r="A381" s="16" t="str"/>
      <x:c r="B381" s="16" t="str"/>
      <x:c r="C381" s="16" t="str"/>
      <x:c r="D381" s="28" t="str"/>
      <x:c r="E381" s="16" t="str"/>
      <x:c r="F381" s="16" t="str"/>
      <x:c r="G381" s="16" t="str"/>
      <x:c r="H381" s="16" t="str"/>
      <x:c r="I381" s="28" t="str"/>
      <x:c r="J381" s="28" t="str"/>
      <x:c r="K381" s="28" t="str"/>
      <x:c r="L381" s="16" t="str"/>
      <x:c r="M381" s="28" t="str">
        <x:f>IF(D381="","",D381+21)</x:f>
      </x:c>
      <x:c r="N381" s="16" t="str">
        <x:f>IF(M381="","",M381-TODAY())</x:f>
      </x:c>
      <x:c r="O381" s="16" t="str">
        <x:f>IF(A381="","",IF(OR(H381="Encerrado",H381="Descartado"),"Encerrado",IF(OR(H381="Sintomático",H381="Suspeito",H381="Confirmado",H381="Óbito"),"Requer avaliação/ação",IF(N381&lt;0,"Prazo concluído","Em monitoramento"))))</x:f>
      </x:c>
      <x:c r="P381" s="16" t="str">
        <x:f>IF(A381="","",IF(OR(E381="Manipulação do corpo",E381="Velório/funeral",E381="Sepultamento",E381="Limpeza/desinfecção"),"Pós-óbito",IF(OR(E381="Transporte do paciente",E381="Cuidado direto",E381="Contato com fluidos",E381="Serviço de saúde",E381="Laboratório"),"Exposição direta/assistencial","Exposição comunitária/outro")))</x:f>
      </x:c>
      <x:c r="Q381" s="16" t="str">
        <x:f>IF(A381="","",IF(P381="Pós-óbito","Sim","Não"))</x:f>
      </x:c>
    </x:row>
    <x:row r="382">
      <x:c r="A382" s="16" t="str"/>
      <x:c r="B382" s="16" t="str"/>
      <x:c r="C382" s="16" t="str"/>
      <x:c r="D382" s="28" t="str"/>
      <x:c r="E382" s="16" t="str"/>
      <x:c r="F382" s="16" t="str"/>
      <x:c r="G382" s="16" t="str"/>
      <x:c r="H382" s="16" t="str"/>
      <x:c r="I382" s="28" t="str"/>
      <x:c r="J382" s="28" t="str"/>
      <x:c r="K382" s="28" t="str"/>
      <x:c r="L382" s="16" t="str"/>
      <x:c r="M382" s="28" t="str">
        <x:f>IF(D382="","",D382+21)</x:f>
      </x:c>
      <x:c r="N382" s="16" t="str">
        <x:f>IF(M382="","",M382-TODAY())</x:f>
      </x:c>
      <x:c r="O382" s="16" t="str">
        <x:f>IF(A382="","",IF(OR(H382="Encerrado",H382="Descartado"),"Encerrado",IF(OR(H382="Sintomático",H382="Suspeito",H382="Confirmado",H382="Óbito"),"Requer avaliação/ação",IF(N382&lt;0,"Prazo concluído","Em monitoramento"))))</x:f>
      </x:c>
      <x:c r="P382" s="16" t="str">
        <x:f>IF(A382="","",IF(OR(E382="Manipulação do corpo",E382="Velório/funeral",E382="Sepultamento",E382="Limpeza/desinfecção"),"Pós-óbito",IF(OR(E382="Transporte do paciente",E382="Cuidado direto",E382="Contato com fluidos",E382="Serviço de saúde",E382="Laboratório"),"Exposição direta/assistencial","Exposição comunitária/outro")))</x:f>
      </x:c>
      <x:c r="Q382" s="16" t="str">
        <x:f>IF(A382="","",IF(P382="Pós-óbito","Sim","Não"))</x:f>
      </x:c>
    </x:row>
    <x:row r="383">
      <x:c r="A383" s="16" t="str"/>
      <x:c r="B383" s="16" t="str"/>
      <x:c r="C383" s="16" t="str"/>
      <x:c r="D383" s="28" t="str"/>
      <x:c r="E383" s="16" t="str"/>
      <x:c r="F383" s="16" t="str"/>
      <x:c r="G383" s="16" t="str"/>
      <x:c r="H383" s="16" t="str"/>
      <x:c r="I383" s="28" t="str"/>
      <x:c r="J383" s="28" t="str"/>
      <x:c r="K383" s="28" t="str"/>
      <x:c r="L383" s="16" t="str"/>
      <x:c r="M383" s="28" t="str">
        <x:f>IF(D383="","",D383+21)</x:f>
      </x:c>
      <x:c r="N383" s="16" t="str">
        <x:f>IF(M383="","",M383-TODAY())</x:f>
      </x:c>
      <x:c r="O383" s="16" t="str">
        <x:f>IF(A383="","",IF(OR(H383="Encerrado",H383="Descartado"),"Encerrado",IF(OR(H383="Sintomático",H383="Suspeito",H383="Confirmado",H383="Óbito"),"Requer avaliação/ação",IF(N383&lt;0,"Prazo concluído","Em monitoramento"))))</x:f>
      </x:c>
      <x:c r="P383" s="16" t="str">
        <x:f>IF(A383="","",IF(OR(E383="Manipulação do corpo",E383="Velório/funeral",E383="Sepultamento",E383="Limpeza/desinfecção"),"Pós-óbito",IF(OR(E383="Transporte do paciente",E383="Cuidado direto",E383="Contato com fluidos",E383="Serviço de saúde",E383="Laboratório"),"Exposição direta/assistencial","Exposição comunitária/outro")))</x:f>
      </x:c>
      <x:c r="Q383" s="16" t="str">
        <x:f>IF(A383="","",IF(P383="Pós-óbito","Sim","Não"))</x:f>
      </x:c>
    </x:row>
    <x:row r="384">
      <x:c r="A384" s="16" t="str"/>
      <x:c r="B384" s="16" t="str"/>
      <x:c r="C384" s="16" t="str"/>
      <x:c r="D384" s="28" t="str"/>
      <x:c r="E384" s="16" t="str"/>
      <x:c r="F384" s="16" t="str"/>
      <x:c r="G384" s="16" t="str"/>
      <x:c r="H384" s="16" t="str"/>
      <x:c r="I384" s="28" t="str"/>
      <x:c r="J384" s="28" t="str"/>
      <x:c r="K384" s="28" t="str"/>
      <x:c r="L384" s="16" t="str"/>
      <x:c r="M384" s="28" t="str">
        <x:f>IF(D384="","",D384+21)</x:f>
      </x:c>
      <x:c r="N384" s="16" t="str">
        <x:f>IF(M384="","",M384-TODAY())</x:f>
      </x:c>
      <x:c r="O384" s="16" t="str">
        <x:f>IF(A384="","",IF(OR(H384="Encerrado",H384="Descartado"),"Encerrado",IF(OR(H384="Sintomático",H384="Suspeito",H384="Confirmado",H384="Óbito"),"Requer avaliação/ação",IF(N384&lt;0,"Prazo concluído","Em monitoramento"))))</x:f>
      </x:c>
      <x:c r="P384" s="16" t="str">
        <x:f>IF(A384="","",IF(OR(E384="Manipulação do corpo",E384="Velório/funeral",E384="Sepultamento",E384="Limpeza/desinfecção"),"Pós-óbito",IF(OR(E384="Transporte do paciente",E384="Cuidado direto",E384="Contato com fluidos",E384="Serviço de saúde",E384="Laboratório"),"Exposição direta/assistencial","Exposição comunitária/outro")))</x:f>
      </x:c>
      <x:c r="Q384" s="16" t="str">
        <x:f>IF(A384="","",IF(P384="Pós-óbito","Sim","Não"))</x:f>
      </x:c>
    </x:row>
    <x:row r="385">
      <x:c r="A385" s="16" t="str"/>
      <x:c r="B385" s="16" t="str"/>
      <x:c r="C385" s="16" t="str"/>
      <x:c r="D385" s="28" t="str"/>
      <x:c r="E385" s="16" t="str"/>
      <x:c r="F385" s="16" t="str"/>
      <x:c r="G385" s="16" t="str"/>
      <x:c r="H385" s="16" t="str"/>
      <x:c r="I385" s="28" t="str"/>
      <x:c r="J385" s="28" t="str"/>
      <x:c r="K385" s="28" t="str"/>
      <x:c r="L385" s="16" t="str"/>
      <x:c r="M385" s="28" t="str">
        <x:f>IF(D385="","",D385+21)</x:f>
      </x:c>
      <x:c r="N385" s="16" t="str">
        <x:f>IF(M385="","",M385-TODAY())</x:f>
      </x:c>
      <x:c r="O385" s="16" t="str">
        <x:f>IF(A385="","",IF(OR(H385="Encerrado",H385="Descartado"),"Encerrado",IF(OR(H385="Sintomático",H385="Suspeito",H385="Confirmado",H385="Óbito"),"Requer avaliação/ação",IF(N385&lt;0,"Prazo concluído","Em monitoramento"))))</x:f>
      </x:c>
      <x:c r="P385" s="16" t="str">
        <x:f>IF(A385="","",IF(OR(E385="Manipulação do corpo",E385="Velório/funeral",E385="Sepultamento",E385="Limpeza/desinfecção"),"Pós-óbito",IF(OR(E385="Transporte do paciente",E385="Cuidado direto",E385="Contato com fluidos",E385="Serviço de saúde",E385="Laboratório"),"Exposição direta/assistencial","Exposição comunitária/outro")))</x:f>
      </x:c>
      <x:c r="Q385" s="16" t="str">
        <x:f>IF(A385="","",IF(P385="Pós-óbito","Sim","Não"))</x:f>
      </x:c>
    </x:row>
    <x:row r="386">
      <x:c r="A386" s="16" t="str"/>
      <x:c r="B386" s="16" t="str"/>
      <x:c r="C386" s="16" t="str"/>
      <x:c r="D386" s="28" t="str"/>
      <x:c r="E386" s="16" t="str"/>
      <x:c r="F386" s="16" t="str"/>
      <x:c r="G386" s="16" t="str"/>
      <x:c r="H386" s="16" t="str"/>
      <x:c r="I386" s="28" t="str"/>
      <x:c r="J386" s="28" t="str"/>
      <x:c r="K386" s="28" t="str"/>
      <x:c r="L386" s="16" t="str"/>
      <x:c r="M386" s="28" t="str">
        <x:f>IF(D386="","",D386+21)</x:f>
      </x:c>
      <x:c r="N386" s="16" t="str">
        <x:f>IF(M386="","",M386-TODAY())</x:f>
      </x:c>
      <x:c r="O386" s="16" t="str">
        <x:f>IF(A386="","",IF(OR(H386="Encerrado",H386="Descartado"),"Encerrado",IF(OR(H386="Sintomático",H386="Suspeito",H386="Confirmado",H386="Óbito"),"Requer avaliação/ação",IF(N386&lt;0,"Prazo concluído","Em monitoramento"))))</x:f>
      </x:c>
      <x:c r="P386" s="16" t="str">
        <x:f>IF(A386="","",IF(OR(E386="Manipulação do corpo",E386="Velório/funeral",E386="Sepultamento",E386="Limpeza/desinfecção"),"Pós-óbito",IF(OR(E386="Transporte do paciente",E386="Cuidado direto",E386="Contato com fluidos",E386="Serviço de saúde",E386="Laboratório"),"Exposição direta/assistencial","Exposição comunitária/outro")))</x:f>
      </x:c>
      <x:c r="Q386" s="16" t="str">
        <x:f>IF(A386="","",IF(P386="Pós-óbito","Sim","Não"))</x:f>
      </x:c>
    </x:row>
    <x:row r="387">
      <x:c r="A387" s="16" t="str"/>
      <x:c r="B387" s="16" t="str"/>
      <x:c r="C387" s="16" t="str"/>
      <x:c r="D387" s="28" t="str"/>
      <x:c r="E387" s="16" t="str"/>
      <x:c r="F387" s="16" t="str"/>
      <x:c r="G387" s="16" t="str"/>
      <x:c r="H387" s="16" t="str"/>
      <x:c r="I387" s="28" t="str"/>
      <x:c r="J387" s="28" t="str"/>
      <x:c r="K387" s="28" t="str"/>
      <x:c r="L387" s="16" t="str"/>
      <x:c r="M387" s="28" t="str">
        <x:f>IF(D387="","",D387+21)</x:f>
      </x:c>
      <x:c r="N387" s="16" t="str">
        <x:f>IF(M387="","",M387-TODAY())</x:f>
      </x:c>
      <x:c r="O387" s="16" t="str">
        <x:f>IF(A387="","",IF(OR(H387="Encerrado",H387="Descartado"),"Encerrado",IF(OR(H387="Sintomático",H387="Suspeito",H387="Confirmado",H387="Óbito"),"Requer avaliação/ação",IF(N387&lt;0,"Prazo concluído","Em monitoramento"))))</x:f>
      </x:c>
      <x:c r="P387" s="16" t="str">
        <x:f>IF(A387="","",IF(OR(E387="Manipulação do corpo",E387="Velório/funeral",E387="Sepultamento",E387="Limpeza/desinfecção"),"Pós-óbito",IF(OR(E387="Transporte do paciente",E387="Cuidado direto",E387="Contato com fluidos",E387="Serviço de saúde",E387="Laboratório"),"Exposição direta/assistencial","Exposição comunitária/outro")))</x:f>
      </x:c>
      <x:c r="Q387" s="16" t="str">
        <x:f>IF(A387="","",IF(P387="Pós-óbito","Sim","Não"))</x:f>
      </x:c>
    </x:row>
    <x:row r="388">
      <x:c r="A388" s="16" t="str"/>
      <x:c r="B388" s="16" t="str"/>
      <x:c r="C388" s="16" t="str"/>
      <x:c r="D388" s="28" t="str"/>
      <x:c r="E388" s="16" t="str"/>
      <x:c r="F388" s="16" t="str"/>
      <x:c r="G388" s="16" t="str"/>
      <x:c r="H388" s="16" t="str"/>
      <x:c r="I388" s="28" t="str"/>
      <x:c r="J388" s="28" t="str"/>
      <x:c r="K388" s="28" t="str"/>
      <x:c r="L388" s="16" t="str"/>
      <x:c r="M388" s="28" t="str">
        <x:f>IF(D388="","",D388+21)</x:f>
      </x:c>
      <x:c r="N388" s="16" t="str">
        <x:f>IF(M388="","",M388-TODAY())</x:f>
      </x:c>
      <x:c r="O388" s="16" t="str">
        <x:f>IF(A388="","",IF(OR(H388="Encerrado",H388="Descartado"),"Encerrado",IF(OR(H388="Sintomático",H388="Suspeito",H388="Confirmado",H388="Óbito"),"Requer avaliação/ação",IF(N388&lt;0,"Prazo concluído","Em monitoramento"))))</x:f>
      </x:c>
      <x:c r="P388" s="16" t="str">
        <x:f>IF(A388="","",IF(OR(E388="Manipulação do corpo",E388="Velório/funeral",E388="Sepultamento",E388="Limpeza/desinfecção"),"Pós-óbito",IF(OR(E388="Transporte do paciente",E388="Cuidado direto",E388="Contato com fluidos",E388="Serviço de saúde",E388="Laboratório"),"Exposição direta/assistencial","Exposição comunitária/outro")))</x:f>
      </x:c>
      <x:c r="Q388" s="16" t="str">
        <x:f>IF(A388="","",IF(P388="Pós-óbito","Sim","Não"))</x:f>
      </x:c>
    </x:row>
    <x:row r="389">
      <x:c r="A389" s="16" t="str"/>
      <x:c r="B389" s="16" t="str"/>
      <x:c r="C389" s="16" t="str"/>
      <x:c r="D389" s="28" t="str"/>
      <x:c r="E389" s="16" t="str"/>
      <x:c r="F389" s="16" t="str"/>
      <x:c r="G389" s="16" t="str"/>
      <x:c r="H389" s="16" t="str"/>
      <x:c r="I389" s="28" t="str"/>
      <x:c r="J389" s="28" t="str"/>
      <x:c r="K389" s="28" t="str"/>
      <x:c r="L389" s="16" t="str"/>
      <x:c r="M389" s="28" t="str">
        <x:f>IF(D389="","",D389+21)</x:f>
      </x:c>
      <x:c r="N389" s="16" t="str">
        <x:f>IF(M389="","",M389-TODAY())</x:f>
      </x:c>
      <x:c r="O389" s="16" t="str">
        <x:f>IF(A389="","",IF(OR(H389="Encerrado",H389="Descartado"),"Encerrado",IF(OR(H389="Sintomático",H389="Suspeito",H389="Confirmado",H389="Óbito"),"Requer avaliação/ação",IF(N389&lt;0,"Prazo concluído","Em monitoramento"))))</x:f>
      </x:c>
      <x:c r="P389" s="16" t="str">
        <x:f>IF(A389="","",IF(OR(E389="Manipulação do corpo",E389="Velório/funeral",E389="Sepultamento",E389="Limpeza/desinfecção"),"Pós-óbito",IF(OR(E389="Transporte do paciente",E389="Cuidado direto",E389="Contato com fluidos",E389="Serviço de saúde",E389="Laboratório"),"Exposição direta/assistencial","Exposição comunitária/outro")))</x:f>
      </x:c>
      <x:c r="Q389" s="16" t="str">
        <x:f>IF(A389="","",IF(P389="Pós-óbito","Sim","Não"))</x:f>
      </x:c>
    </x:row>
    <x:row r="390">
      <x:c r="A390" s="16" t="str"/>
      <x:c r="B390" s="16" t="str"/>
      <x:c r="C390" s="16" t="str"/>
      <x:c r="D390" s="28" t="str"/>
      <x:c r="E390" s="16" t="str"/>
      <x:c r="F390" s="16" t="str"/>
      <x:c r="G390" s="16" t="str"/>
      <x:c r="H390" s="16" t="str"/>
      <x:c r="I390" s="28" t="str"/>
      <x:c r="J390" s="28" t="str"/>
      <x:c r="K390" s="28" t="str"/>
      <x:c r="L390" s="16" t="str"/>
      <x:c r="M390" s="28" t="str">
        <x:f>IF(D390="","",D390+21)</x:f>
      </x:c>
      <x:c r="N390" s="16" t="str">
        <x:f>IF(M390="","",M390-TODAY())</x:f>
      </x:c>
      <x:c r="O390" s="16" t="str">
        <x:f>IF(A390="","",IF(OR(H390="Encerrado",H390="Descartado"),"Encerrado",IF(OR(H390="Sintomático",H390="Suspeito",H390="Confirmado",H390="Óbito"),"Requer avaliação/ação",IF(N390&lt;0,"Prazo concluído","Em monitoramento"))))</x:f>
      </x:c>
      <x:c r="P390" s="16" t="str">
        <x:f>IF(A390="","",IF(OR(E390="Manipulação do corpo",E390="Velório/funeral",E390="Sepultamento",E390="Limpeza/desinfecção"),"Pós-óbito",IF(OR(E390="Transporte do paciente",E390="Cuidado direto",E390="Contato com fluidos",E390="Serviço de saúde",E390="Laboratório"),"Exposição direta/assistencial","Exposição comunitária/outro")))</x:f>
      </x:c>
      <x:c r="Q390" s="16" t="str">
        <x:f>IF(A390="","",IF(P390="Pós-óbito","Sim","Não"))</x:f>
      </x:c>
    </x:row>
    <x:row r="391">
      <x:c r="A391" s="16" t="str"/>
      <x:c r="B391" s="16" t="str"/>
      <x:c r="C391" s="16" t="str"/>
      <x:c r="D391" s="28" t="str"/>
      <x:c r="E391" s="16" t="str"/>
      <x:c r="F391" s="16" t="str"/>
      <x:c r="G391" s="16" t="str"/>
      <x:c r="H391" s="16" t="str"/>
      <x:c r="I391" s="28" t="str"/>
      <x:c r="J391" s="28" t="str"/>
      <x:c r="K391" s="28" t="str"/>
      <x:c r="L391" s="16" t="str"/>
      <x:c r="M391" s="28" t="str">
        <x:f>IF(D391="","",D391+21)</x:f>
      </x:c>
      <x:c r="N391" s="16" t="str">
        <x:f>IF(M391="","",M391-TODAY())</x:f>
      </x:c>
      <x:c r="O391" s="16" t="str">
        <x:f>IF(A391="","",IF(OR(H391="Encerrado",H391="Descartado"),"Encerrado",IF(OR(H391="Sintomático",H391="Suspeito",H391="Confirmado",H391="Óbito"),"Requer avaliação/ação",IF(N391&lt;0,"Prazo concluído","Em monitoramento"))))</x:f>
      </x:c>
      <x:c r="P391" s="16" t="str">
        <x:f>IF(A391="","",IF(OR(E391="Manipulação do corpo",E391="Velório/funeral",E391="Sepultamento",E391="Limpeza/desinfecção"),"Pós-óbito",IF(OR(E391="Transporte do paciente",E391="Cuidado direto",E391="Contato com fluidos",E391="Serviço de saúde",E391="Laboratório"),"Exposição direta/assistencial","Exposição comunitária/outro")))</x:f>
      </x:c>
      <x:c r="Q391" s="16" t="str">
        <x:f>IF(A391="","",IF(P391="Pós-óbito","Sim","Não"))</x:f>
      </x:c>
    </x:row>
    <x:row r="392">
      <x:c r="A392" s="16" t="str"/>
      <x:c r="B392" s="16" t="str"/>
      <x:c r="C392" s="16" t="str"/>
      <x:c r="D392" s="28" t="str"/>
      <x:c r="E392" s="16" t="str"/>
      <x:c r="F392" s="16" t="str"/>
      <x:c r="G392" s="16" t="str"/>
      <x:c r="H392" s="16" t="str"/>
      <x:c r="I392" s="28" t="str"/>
      <x:c r="J392" s="28" t="str"/>
      <x:c r="K392" s="28" t="str"/>
      <x:c r="L392" s="16" t="str"/>
      <x:c r="M392" s="28" t="str">
        <x:f>IF(D392="","",D392+21)</x:f>
      </x:c>
      <x:c r="N392" s="16" t="str">
        <x:f>IF(M392="","",M392-TODAY())</x:f>
      </x:c>
      <x:c r="O392" s="16" t="str">
        <x:f>IF(A392="","",IF(OR(H392="Encerrado",H392="Descartado"),"Encerrado",IF(OR(H392="Sintomático",H392="Suspeito",H392="Confirmado",H392="Óbito"),"Requer avaliação/ação",IF(N392&lt;0,"Prazo concluído","Em monitoramento"))))</x:f>
      </x:c>
      <x:c r="P392" s="16" t="str">
        <x:f>IF(A392="","",IF(OR(E392="Manipulação do corpo",E392="Velório/funeral",E392="Sepultamento",E392="Limpeza/desinfecção"),"Pós-óbito",IF(OR(E392="Transporte do paciente",E392="Cuidado direto",E392="Contato com fluidos",E392="Serviço de saúde",E392="Laboratório"),"Exposição direta/assistencial","Exposição comunitária/outro")))</x:f>
      </x:c>
      <x:c r="Q392" s="16" t="str">
        <x:f>IF(A392="","",IF(P392="Pós-óbito","Sim","Não"))</x:f>
      </x:c>
    </x:row>
    <x:row r="393">
      <x:c r="A393" s="16" t="str"/>
      <x:c r="B393" s="16" t="str"/>
      <x:c r="C393" s="16" t="str"/>
      <x:c r="D393" s="28" t="str"/>
      <x:c r="E393" s="16" t="str"/>
      <x:c r="F393" s="16" t="str"/>
      <x:c r="G393" s="16" t="str"/>
      <x:c r="H393" s="16" t="str"/>
      <x:c r="I393" s="28" t="str"/>
      <x:c r="J393" s="28" t="str"/>
      <x:c r="K393" s="28" t="str"/>
      <x:c r="L393" s="16" t="str"/>
      <x:c r="M393" s="28" t="str">
        <x:f>IF(D393="","",D393+21)</x:f>
      </x:c>
      <x:c r="N393" s="16" t="str">
        <x:f>IF(M393="","",M393-TODAY())</x:f>
      </x:c>
      <x:c r="O393" s="16" t="str">
        <x:f>IF(A393="","",IF(OR(H393="Encerrado",H393="Descartado"),"Encerrado",IF(OR(H393="Sintomático",H393="Suspeito",H393="Confirmado",H393="Óbito"),"Requer avaliação/ação",IF(N393&lt;0,"Prazo concluído","Em monitoramento"))))</x:f>
      </x:c>
      <x:c r="P393" s="16" t="str">
        <x:f>IF(A393="","",IF(OR(E393="Manipulação do corpo",E393="Velório/funeral",E393="Sepultamento",E393="Limpeza/desinfecção"),"Pós-óbito",IF(OR(E393="Transporte do paciente",E393="Cuidado direto",E393="Contato com fluidos",E393="Serviço de saúde",E393="Laboratório"),"Exposição direta/assistencial","Exposição comunitária/outro")))</x:f>
      </x:c>
      <x:c r="Q393" s="16" t="str">
        <x:f>IF(A393="","",IF(P393="Pós-óbito","Sim","Não"))</x:f>
      </x:c>
    </x:row>
    <x:row r="394">
      <x:c r="A394" s="16" t="str"/>
      <x:c r="B394" s="16" t="str"/>
      <x:c r="C394" s="16" t="str"/>
      <x:c r="D394" s="28" t="str"/>
      <x:c r="E394" s="16" t="str"/>
      <x:c r="F394" s="16" t="str"/>
      <x:c r="G394" s="16" t="str"/>
      <x:c r="H394" s="16" t="str"/>
      <x:c r="I394" s="28" t="str"/>
      <x:c r="J394" s="28" t="str"/>
      <x:c r="K394" s="28" t="str"/>
      <x:c r="L394" s="16" t="str"/>
      <x:c r="M394" s="28" t="str">
        <x:f>IF(D394="","",D394+21)</x:f>
      </x:c>
      <x:c r="N394" s="16" t="str">
        <x:f>IF(M394="","",M394-TODAY())</x:f>
      </x:c>
      <x:c r="O394" s="16" t="str">
        <x:f>IF(A394="","",IF(OR(H394="Encerrado",H394="Descartado"),"Encerrado",IF(OR(H394="Sintomático",H394="Suspeito",H394="Confirmado",H394="Óbito"),"Requer avaliação/ação",IF(N394&lt;0,"Prazo concluído","Em monitoramento"))))</x:f>
      </x:c>
      <x:c r="P394" s="16" t="str">
        <x:f>IF(A394="","",IF(OR(E394="Manipulação do corpo",E394="Velório/funeral",E394="Sepultamento",E394="Limpeza/desinfecção"),"Pós-óbito",IF(OR(E394="Transporte do paciente",E394="Cuidado direto",E394="Contato com fluidos",E394="Serviço de saúde",E394="Laboratório"),"Exposição direta/assistencial","Exposição comunitária/outro")))</x:f>
      </x:c>
      <x:c r="Q394" s="16" t="str">
        <x:f>IF(A394="","",IF(P394="Pós-óbito","Sim","Não"))</x:f>
      </x:c>
    </x:row>
    <x:row r="395">
      <x:c r="A395" s="16" t="str"/>
      <x:c r="B395" s="16" t="str"/>
      <x:c r="C395" s="16" t="str"/>
      <x:c r="D395" s="28" t="str"/>
      <x:c r="E395" s="16" t="str"/>
      <x:c r="F395" s="16" t="str"/>
      <x:c r="G395" s="16" t="str"/>
      <x:c r="H395" s="16" t="str"/>
      <x:c r="I395" s="28" t="str"/>
      <x:c r="J395" s="28" t="str"/>
      <x:c r="K395" s="28" t="str"/>
      <x:c r="L395" s="16" t="str"/>
      <x:c r="M395" s="28" t="str">
        <x:f>IF(D395="","",D395+21)</x:f>
      </x:c>
      <x:c r="N395" s="16" t="str">
        <x:f>IF(M395="","",M395-TODAY())</x:f>
      </x:c>
      <x:c r="O395" s="16" t="str">
        <x:f>IF(A395="","",IF(OR(H395="Encerrado",H395="Descartado"),"Encerrado",IF(OR(H395="Sintomático",H395="Suspeito",H395="Confirmado",H395="Óbito"),"Requer avaliação/ação",IF(N395&lt;0,"Prazo concluído","Em monitoramento"))))</x:f>
      </x:c>
      <x:c r="P395" s="16" t="str">
        <x:f>IF(A395="","",IF(OR(E395="Manipulação do corpo",E395="Velório/funeral",E395="Sepultamento",E395="Limpeza/desinfecção"),"Pós-óbito",IF(OR(E395="Transporte do paciente",E395="Cuidado direto",E395="Contato com fluidos",E395="Serviço de saúde",E395="Laboratório"),"Exposição direta/assistencial","Exposição comunitária/outro")))</x:f>
      </x:c>
      <x:c r="Q395" s="16" t="str">
        <x:f>IF(A395="","",IF(P395="Pós-óbito","Sim","Não"))</x:f>
      </x:c>
    </x:row>
    <x:row r="396">
      <x:c r="A396" s="16" t="str"/>
      <x:c r="B396" s="16" t="str"/>
      <x:c r="C396" s="16" t="str"/>
      <x:c r="D396" s="28" t="str"/>
      <x:c r="E396" s="16" t="str"/>
      <x:c r="F396" s="16" t="str"/>
      <x:c r="G396" s="16" t="str"/>
      <x:c r="H396" s="16" t="str"/>
      <x:c r="I396" s="28" t="str"/>
      <x:c r="J396" s="28" t="str"/>
      <x:c r="K396" s="28" t="str"/>
      <x:c r="L396" s="16" t="str"/>
      <x:c r="M396" s="28" t="str">
        <x:f>IF(D396="","",D396+21)</x:f>
      </x:c>
      <x:c r="N396" s="16" t="str">
        <x:f>IF(M396="","",M396-TODAY())</x:f>
      </x:c>
      <x:c r="O396" s="16" t="str">
        <x:f>IF(A396="","",IF(OR(H396="Encerrado",H396="Descartado"),"Encerrado",IF(OR(H396="Sintomático",H396="Suspeito",H396="Confirmado",H396="Óbito"),"Requer avaliação/ação",IF(N396&lt;0,"Prazo concluído","Em monitoramento"))))</x:f>
      </x:c>
      <x:c r="P396" s="16" t="str">
        <x:f>IF(A396="","",IF(OR(E396="Manipulação do corpo",E396="Velório/funeral",E396="Sepultamento",E396="Limpeza/desinfecção"),"Pós-óbito",IF(OR(E396="Transporte do paciente",E396="Cuidado direto",E396="Contato com fluidos",E396="Serviço de saúde",E396="Laboratório"),"Exposição direta/assistencial","Exposição comunitária/outro")))</x:f>
      </x:c>
      <x:c r="Q396" s="16" t="str">
        <x:f>IF(A396="","",IF(P396="Pós-óbito","Sim","Não"))</x:f>
      </x:c>
    </x:row>
    <x:row r="397">
      <x:c r="A397" s="16" t="str"/>
      <x:c r="B397" s="16" t="str"/>
      <x:c r="C397" s="16" t="str"/>
      <x:c r="D397" s="28" t="str"/>
      <x:c r="E397" s="16" t="str"/>
      <x:c r="F397" s="16" t="str"/>
      <x:c r="G397" s="16" t="str"/>
      <x:c r="H397" s="16" t="str"/>
      <x:c r="I397" s="28" t="str"/>
      <x:c r="J397" s="28" t="str"/>
      <x:c r="K397" s="28" t="str"/>
      <x:c r="L397" s="16" t="str"/>
      <x:c r="M397" s="28" t="str">
        <x:f>IF(D397="","",D397+21)</x:f>
      </x:c>
      <x:c r="N397" s="16" t="str">
        <x:f>IF(M397="","",M397-TODAY())</x:f>
      </x:c>
      <x:c r="O397" s="16" t="str">
        <x:f>IF(A397="","",IF(OR(H397="Encerrado",H397="Descartado"),"Encerrado",IF(OR(H397="Sintomático",H397="Suspeito",H397="Confirmado",H397="Óbito"),"Requer avaliação/ação",IF(N397&lt;0,"Prazo concluído","Em monitoramento"))))</x:f>
      </x:c>
      <x:c r="P397" s="16" t="str">
        <x:f>IF(A397="","",IF(OR(E397="Manipulação do corpo",E397="Velório/funeral",E397="Sepultamento",E397="Limpeza/desinfecção"),"Pós-óbito",IF(OR(E397="Transporte do paciente",E397="Cuidado direto",E397="Contato com fluidos",E397="Serviço de saúde",E397="Laboratório"),"Exposição direta/assistencial","Exposição comunitária/outro")))</x:f>
      </x:c>
      <x:c r="Q397" s="16" t="str">
        <x:f>IF(A397="","",IF(P397="Pós-óbito","Sim","Não"))</x:f>
      </x:c>
    </x:row>
    <x:row r="398">
      <x:c r="A398" s="16" t="str"/>
      <x:c r="B398" s="16" t="str"/>
      <x:c r="C398" s="16" t="str"/>
      <x:c r="D398" s="28" t="str"/>
      <x:c r="E398" s="16" t="str"/>
      <x:c r="F398" s="16" t="str"/>
      <x:c r="G398" s="16" t="str"/>
      <x:c r="H398" s="16" t="str"/>
      <x:c r="I398" s="28" t="str"/>
      <x:c r="J398" s="28" t="str"/>
      <x:c r="K398" s="28" t="str"/>
      <x:c r="L398" s="16" t="str"/>
      <x:c r="M398" s="28" t="str">
        <x:f>IF(D398="","",D398+21)</x:f>
      </x:c>
      <x:c r="N398" s="16" t="str">
        <x:f>IF(M398="","",M398-TODAY())</x:f>
      </x:c>
      <x:c r="O398" s="16" t="str">
        <x:f>IF(A398="","",IF(OR(H398="Encerrado",H398="Descartado"),"Encerrado",IF(OR(H398="Sintomático",H398="Suspeito",H398="Confirmado",H398="Óbito"),"Requer avaliação/ação",IF(N398&lt;0,"Prazo concluído","Em monitoramento"))))</x:f>
      </x:c>
      <x:c r="P398" s="16" t="str">
        <x:f>IF(A398="","",IF(OR(E398="Manipulação do corpo",E398="Velório/funeral",E398="Sepultamento",E398="Limpeza/desinfecção"),"Pós-óbito",IF(OR(E398="Transporte do paciente",E398="Cuidado direto",E398="Contato com fluidos",E398="Serviço de saúde",E398="Laboratório"),"Exposição direta/assistencial","Exposição comunitária/outro")))</x:f>
      </x:c>
      <x:c r="Q398" s="16" t="str">
        <x:f>IF(A398="","",IF(P398="Pós-óbito","Sim","Não"))</x:f>
      </x:c>
    </x:row>
    <x:row r="399">
      <x:c r="A399" s="16" t="str"/>
      <x:c r="B399" s="16" t="str"/>
      <x:c r="C399" s="16" t="str"/>
      <x:c r="D399" s="28" t="str"/>
      <x:c r="E399" s="16" t="str"/>
      <x:c r="F399" s="16" t="str"/>
      <x:c r="G399" s="16" t="str"/>
      <x:c r="H399" s="16" t="str"/>
      <x:c r="I399" s="28" t="str"/>
      <x:c r="J399" s="28" t="str"/>
      <x:c r="K399" s="28" t="str"/>
      <x:c r="L399" s="16" t="str"/>
      <x:c r="M399" s="28" t="str">
        <x:f>IF(D399="","",D399+21)</x:f>
      </x:c>
      <x:c r="N399" s="16" t="str">
        <x:f>IF(M399="","",M399-TODAY())</x:f>
      </x:c>
      <x:c r="O399" s="16" t="str">
        <x:f>IF(A399="","",IF(OR(H399="Encerrado",H399="Descartado"),"Encerrado",IF(OR(H399="Sintomático",H399="Suspeito",H399="Confirmado",H399="Óbito"),"Requer avaliação/ação",IF(N399&lt;0,"Prazo concluído","Em monitoramento"))))</x:f>
      </x:c>
      <x:c r="P399" s="16" t="str">
        <x:f>IF(A399="","",IF(OR(E399="Manipulação do corpo",E399="Velório/funeral",E399="Sepultamento",E399="Limpeza/desinfecção"),"Pós-óbito",IF(OR(E399="Transporte do paciente",E399="Cuidado direto",E399="Contato com fluidos",E399="Serviço de saúde",E399="Laboratório"),"Exposição direta/assistencial","Exposição comunitária/outro")))</x:f>
      </x:c>
      <x:c r="Q399" s="16" t="str">
        <x:f>IF(A399="","",IF(P399="Pós-óbito","Sim","Não"))</x:f>
      </x:c>
    </x:row>
    <x:row r="400">
      <x:c r="A400" s="16" t="str"/>
      <x:c r="B400" s="16" t="str"/>
      <x:c r="C400" s="16" t="str"/>
      <x:c r="D400" s="28" t="str"/>
      <x:c r="E400" s="16" t="str"/>
      <x:c r="F400" s="16" t="str"/>
      <x:c r="G400" s="16" t="str"/>
      <x:c r="H400" s="16" t="str"/>
      <x:c r="I400" s="28" t="str"/>
      <x:c r="J400" s="28" t="str"/>
      <x:c r="K400" s="28" t="str"/>
      <x:c r="L400" s="16" t="str"/>
      <x:c r="M400" s="28" t="str">
        <x:f>IF(D400="","",D400+21)</x:f>
      </x:c>
      <x:c r="N400" s="16" t="str">
        <x:f>IF(M400="","",M400-TODAY())</x:f>
      </x:c>
      <x:c r="O400" s="16" t="str">
        <x:f>IF(A400="","",IF(OR(H400="Encerrado",H400="Descartado"),"Encerrado",IF(OR(H400="Sintomático",H400="Suspeito",H400="Confirmado",H400="Óbito"),"Requer avaliação/ação",IF(N400&lt;0,"Prazo concluído","Em monitoramento"))))</x:f>
      </x:c>
      <x:c r="P400" s="16" t="str">
        <x:f>IF(A400="","",IF(OR(E400="Manipulação do corpo",E400="Velório/funeral",E400="Sepultamento",E400="Limpeza/desinfecção"),"Pós-óbito",IF(OR(E400="Transporte do paciente",E400="Cuidado direto",E400="Contato com fluidos",E400="Serviço de saúde",E400="Laboratório"),"Exposição direta/assistencial","Exposição comunitária/outro")))</x:f>
      </x:c>
      <x:c r="Q400" s="16" t="str">
        <x:f>IF(A400="","",IF(P400="Pós-óbito","Sim","Não"))</x:f>
      </x:c>
    </x:row>
    <x:row r="401">
      <x:c r="A401" s="16" t="str"/>
      <x:c r="B401" s="16" t="str"/>
      <x:c r="C401" s="16" t="str"/>
      <x:c r="D401" s="28" t="str"/>
      <x:c r="E401" s="16" t="str"/>
      <x:c r="F401" s="16" t="str"/>
      <x:c r="G401" s="16" t="str"/>
      <x:c r="H401" s="16" t="str"/>
      <x:c r="I401" s="28" t="str"/>
      <x:c r="J401" s="28" t="str"/>
      <x:c r="K401" s="28" t="str"/>
      <x:c r="L401" s="16" t="str"/>
      <x:c r="M401" s="28" t="str">
        <x:f>IF(D401="","",D401+21)</x:f>
      </x:c>
      <x:c r="N401" s="16" t="str">
        <x:f>IF(M401="","",M401-TODAY())</x:f>
      </x:c>
      <x:c r="O401" s="16" t="str">
        <x:f>IF(A401="","",IF(OR(H401="Encerrado",H401="Descartado"),"Encerrado",IF(OR(H401="Sintomático",H401="Suspeito",H401="Confirmado",H401="Óbito"),"Requer avaliação/ação",IF(N401&lt;0,"Prazo concluído","Em monitoramento"))))</x:f>
      </x:c>
      <x:c r="P401" s="16" t="str">
        <x:f>IF(A401="","",IF(OR(E401="Manipulação do corpo",E401="Velório/funeral",E401="Sepultamento",E401="Limpeza/desinfecção"),"Pós-óbito",IF(OR(E401="Transporte do paciente",E401="Cuidado direto",E401="Contato com fluidos",E401="Serviço de saúde",E401="Laboratório"),"Exposição direta/assistencial","Exposição comunitária/outro")))</x:f>
      </x:c>
      <x:c r="Q401" s="16" t="str">
        <x:f>IF(A401="","",IF(P401="Pós-óbito","Sim","Não"))</x:f>
      </x:c>
    </x:row>
    <x:row r="402">
      <x:c r="A402" s="16" t="str"/>
      <x:c r="B402" s="16" t="str"/>
      <x:c r="C402" s="16" t="str"/>
      <x:c r="D402" s="28" t="str"/>
      <x:c r="E402" s="16" t="str"/>
      <x:c r="F402" s="16" t="str"/>
      <x:c r="G402" s="16" t="str"/>
      <x:c r="H402" s="16" t="str"/>
      <x:c r="I402" s="28" t="str"/>
      <x:c r="J402" s="28" t="str"/>
      <x:c r="K402" s="28" t="str"/>
      <x:c r="L402" s="16" t="str"/>
      <x:c r="M402" s="28" t="str">
        <x:f>IF(D402="","",D402+21)</x:f>
      </x:c>
      <x:c r="N402" s="16" t="str">
        <x:f>IF(M402="","",M402-TODAY())</x:f>
      </x:c>
      <x:c r="O402" s="16" t="str">
        <x:f>IF(A402="","",IF(OR(H402="Encerrado",H402="Descartado"),"Encerrado",IF(OR(H402="Sintomático",H402="Suspeito",H402="Confirmado",H402="Óbito"),"Requer avaliação/ação",IF(N402&lt;0,"Prazo concluído","Em monitoramento"))))</x:f>
      </x:c>
      <x:c r="P402" s="16" t="str">
        <x:f>IF(A402="","",IF(OR(E402="Manipulação do corpo",E402="Velório/funeral",E402="Sepultamento",E402="Limpeza/desinfecção"),"Pós-óbito",IF(OR(E402="Transporte do paciente",E402="Cuidado direto",E402="Contato com fluidos",E402="Serviço de saúde",E402="Laboratório"),"Exposição direta/assistencial","Exposição comunitária/outro")))</x:f>
      </x:c>
      <x:c r="Q402" s="16" t="str">
        <x:f>IF(A402="","",IF(P402="Pós-óbito","Sim","Não"))</x:f>
      </x:c>
    </x:row>
    <x:row r="403">
      <x:c r="A403" s="16" t="str"/>
      <x:c r="B403" s="16" t="str"/>
      <x:c r="C403" s="16" t="str"/>
      <x:c r="D403" s="28" t="str"/>
      <x:c r="E403" s="16" t="str"/>
      <x:c r="F403" s="16" t="str"/>
      <x:c r="G403" s="16" t="str"/>
      <x:c r="H403" s="16" t="str"/>
      <x:c r="I403" s="28" t="str"/>
      <x:c r="J403" s="28" t="str"/>
      <x:c r="K403" s="28" t="str"/>
      <x:c r="L403" s="16" t="str"/>
      <x:c r="M403" s="28" t="str">
        <x:f>IF(D403="","",D403+21)</x:f>
      </x:c>
      <x:c r="N403" s="16" t="str">
        <x:f>IF(M403="","",M403-TODAY())</x:f>
      </x:c>
      <x:c r="O403" s="16" t="str">
        <x:f>IF(A403="","",IF(OR(H403="Encerrado",H403="Descartado"),"Encerrado",IF(OR(H403="Sintomático",H403="Suspeito",H403="Confirmado",H403="Óbito"),"Requer avaliação/ação",IF(N403&lt;0,"Prazo concluído","Em monitoramento"))))</x:f>
      </x:c>
      <x:c r="P403" s="16" t="str">
        <x:f>IF(A403="","",IF(OR(E403="Manipulação do corpo",E403="Velório/funeral",E403="Sepultamento",E403="Limpeza/desinfecção"),"Pós-óbito",IF(OR(E403="Transporte do paciente",E403="Cuidado direto",E403="Contato com fluidos",E403="Serviço de saúde",E403="Laboratório"),"Exposição direta/assistencial","Exposição comunitária/outro")))</x:f>
      </x:c>
      <x:c r="Q403" s="16" t="str">
        <x:f>IF(A403="","",IF(P403="Pós-óbito","Sim","Não"))</x:f>
      </x:c>
    </x:row>
    <x:row r="404">
      <x:c r="A404" s="16" t="str"/>
      <x:c r="B404" s="16" t="str"/>
      <x:c r="C404" s="16" t="str"/>
      <x:c r="D404" s="28" t="str"/>
      <x:c r="E404" s="16" t="str"/>
      <x:c r="F404" s="16" t="str"/>
      <x:c r="G404" s="16" t="str"/>
      <x:c r="H404" s="16" t="str"/>
      <x:c r="I404" s="28" t="str"/>
      <x:c r="J404" s="28" t="str"/>
      <x:c r="K404" s="28" t="str"/>
      <x:c r="L404" s="16" t="str"/>
      <x:c r="M404" s="28" t="str">
        <x:f>IF(D404="","",D404+21)</x:f>
      </x:c>
      <x:c r="N404" s="16" t="str">
        <x:f>IF(M404="","",M404-TODAY())</x:f>
      </x:c>
      <x:c r="O404" s="16" t="str">
        <x:f>IF(A404="","",IF(OR(H404="Encerrado",H404="Descartado"),"Encerrado",IF(OR(H404="Sintomático",H404="Suspeito",H404="Confirmado",H404="Óbito"),"Requer avaliação/ação",IF(N404&lt;0,"Prazo concluído","Em monitoramento"))))</x:f>
      </x:c>
      <x:c r="P404" s="16" t="str">
        <x:f>IF(A404="","",IF(OR(E404="Manipulação do corpo",E404="Velório/funeral",E404="Sepultamento",E404="Limpeza/desinfecção"),"Pós-óbito",IF(OR(E404="Transporte do paciente",E404="Cuidado direto",E404="Contato com fluidos",E404="Serviço de saúde",E404="Laboratório"),"Exposição direta/assistencial","Exposição comunitária/outro")))</x:f>
      </x:c>
      <x:c r="Q404" s="16" t="str">
        <x:f>IF(A404="","",IF(P404="Pós-óbito","Sim","Não"))</x:f>
      </x:c>
    </x:row>
    <x:row r="405">
      <x:c r="A405" s="16" t="str"/>
      <x:c r="B405" s="16" t="str"/>
      <x:c r="C405" s="16" t="str"/>
      <x:c r="D405" s="28" t="str"/>
      <x:c r="E405" s="16" t="str"/>
      <x:c r="F405" s="16" t="str"/>
      <x:c r="G405" s="16" t="str"/>
      <x:c r="H405" s="16" t="str"/>
      <x:c r="I405" s="28" t="str"/>
      <x:c r="J405" s="28" t="str"/>
      <x:c r="K405" s="28" t="str"/>
      <x:c r="L405" s="16" t="str"/>
      <x:c r="M405" s="28" t="str">
        <x:f>IF(D405="","",D405+21)</x:f>
      </x:c>
      <x:c r="N405" s="16" t="str">
        <x:f>IF(M405="","",M405-TODAY())</x:f>
      </x:c>
      <x:c r="O405" s="16" t="str">
        <x:f>IF(A405="","",IF(OR(H405="Encerrado",H405="Descartado"),"Encerrado",IF(OR(H405="Sintomático",H405="Suspeito",H405="Confirmado",H405="Óbito"),"Requer avaliação/ação",IF(N405&lt;0,"Prazo concluído","Em monitoramento"))))</x:f>
      </x:c>
      <x:c r="P405" s="16" t="str">
        <x:f>IF(A405="","",IF(OR(E405="Manipulação do corpo",E405="Velório/funeral",E405="Sepultamento",E405="Limpeza/desinfecção"),"Pós-óbito",IF(OR(E405="Transporte do paciente",E405="Cuidado direto",E405="Contato com fluidos",E405="Serviço de saúde",E405="Laboratório"),"Exposição direta/assistencial","Exposição comunitária/outro")))</x:f>
      </x:c>
      <x:c r="Q405" s="16" t="str">
        <x:f>IF(A405="","",IF(P405="Pós-óbito","Sim","Não"))</x:f>
      </x:c>
    </x:row>
    <x:row r="406">
      <x:c r="A406" s="16" t="str"/>
      <x:c r="B406" s="16" t="str"/>
      <x:c r="C406" s="16" t="str"/>
      <x:c r="D406" s="28" t="str"/>
      <x:c r="E406" s="16" t="str"/>
      <x:c r="F406" s="16" t="str"/>
      <x:c r="G406" s="16" t="str"/>
      <x:c r="H406" s="16" t="str"/>
      <x:c r="I406" s="28" t="str"/>
      <x:c r="J406" s="28" t="str"/>
      <x:c r="K406" s="28" t="str"/>
      <x:c r="L406" s="16" t="str"/>
      <x:c r="M406" s="28" t="str">
        <x:f>IF(D406="","",D406+21)</x:f>
      </x:c>
      <x:c r="N406" s="16" t="str">
        <x:f>IF(M406="","",M406-TODAY())</x:f>
      </x:c>
      <x:c r="O406" s="16" t="str">
        <x:f>IF(A406="","",IF(OR(H406="Encerrado",H406="Descartado"),"Encerrado",IF(OR(H406="Sintomático",H406="Suspeito",H406="Confirmado",H406="Óbito"),"Requer avaliação/ação",IF(N406&lt;0,"Prazo concluído","Em monitoramento"))))</x:f>
      </x:c>
      <x:c r="P406" s="16" t="str">
        <x:f>IF(A406="","",IF(OR(E406="Manipulação do corpo",E406="Velório/funeral",E406="Sepultamento",E406="Limpeza/desinfecção"),"Pós-óbito",IF(OR(E406="Transporte do paciente",E406="Cuidado direto",E406="Contato com fluidos",E406="Serviço de saúde",E406="Laboratório"),"Exposição direta/assistencial","Exposição comunitária/outro")))</x:f>
      </x:c>
      <x:c r="Q406" s="16" t="str">
        <x:f>IF(A406="","",IF(P406="Pós-óbito","Sim","Não"))</x:f>
      </x:c>
    </x:row>
    <x:row r="407">
      <x:c r="A407" s="16" t="str"/>
      <x:c r="B407" s="16" t="str"/>
      <x:c r="C407" s="16" t="str"/>
      <x:c r="D407" s="28" t="str"/>
      <x:c r="E407" s="16" t="str"/>
      <x:c r="F407" s="16" t="str"/>
      <x:c r="G407" s="16" t="str"/>
      <x:c r="H407" s="16" t="str"/>
      <x:c r="I407" s="28" t="str"/>
      <x:c r="J407" s="28" t="str"/>
      <x:c r="K407" s="28" t="str"/>
      <x:c r="L407" s="16" t="str"/>
      <x:c r="M407" s="28" t="str">
        <x:f>IF(D407="","",D407+21)</x:f>
      </x:c>
      <x:c r="N407" s="16" t="str">
        <x:f>IF(M407="","",M407-TODAY())</x:f>
      </x:c>
      <x:c r="O407" s="16" t="str">
        <x:f>IF(A407="","",IF(OR(H407="Encerrado",H407="Descartado"),"Encerrado",IF(OR(H407="Sintomático",H407="Suspeito",H407="Confirmado",H407="Óbito"),"Requer avaliação/ação",IF(N407&lt;0,"Prazo concluído","Em monitoramento"))))</x:f>
      </x:c>
      <x:c r="P407" s="16" t="str">
        <x:f>IF(A407="","",IF(OR(E407="Manipulação do corpo",E407="Velório/funeral",E407="Sepultamento",E407="Limpeza/desinfecção"),"Pós-óbito",IF(OR(E407="Transporte do paciente",E407="Cuidado direto",E407="Contato com fluidos",E407="Serviço de saúde",E407="Laboratório"),"Exposição direta/assistencial","Exposição comunitária/outro")))</x:f>
      </x:c>
      <x:c r="Q407" s="16" t="str">
        <x:f>IF(A407="","",IF(P407="Pós-óbito","Sim","Não"))</x:f>
      </x:c>
    </x:row>
    <x:row r="408">
      <x:c r="A408" s="16" t="str"/>
      <x:c r="B408" s="16" t="str"/>
      <x:c r="C408" s="16" t="str"/>
      <x:c r="D408" s="28" t="str"/>
      <x:c r="E408" s="16" t="str"/>
      <x:c r="F408" s="16" t="str"/>
      <x:c r="G408" s="16" t="str"/>
      <x:c r="H408" s="16" t="str"/>
      <x:c r="I408" s="28" t="str"/>
      <x:c r="J408" s="28" t="str"/>
      <x:c r="K408" s="28" t="str"/>
      <x:c r="L408" s="16" t="str"/>
      <x:c r="M408" s="28" t="str">
        <x:f>IF(D408="","",D408+21)</x:f>
      </x:c>
      <x:c r="N408" s="16" t="str">
        <x:f>IF(M408="","",M408-TODAY())</x:f>
      </x:c>
      <x:c r="O408" s="16" t="str">
        <x:f>IF(A408="","",IF(OR(H408="Encerrado",H408="Descartado"),"Encerrado",IF(OR(H408="Sintomático",H408="Suspeito",H408="Confirmado",H408="Óbito"),"Requer avaliação/ação",IF(N408&lt;0,"Prazo concluído","Em monitoramento"))))</x:f>
      </x:c>
      <x:c r="P408" s="16" t="str">
        <x:f>IF(A408="","",IF(OR(E408="Manipulação do corpo",E408="Velório/funeral",E408="Sepultamento",E408="Limpeza/desinfecção"),"Pós-óbito",IF(OR(E408="Transporte do paciente",E408="Cuidado direto",E408="Contato com fluidos",E408="Serviço de saúde",E408="Laboratório"),"Exposição direta/assistencial","Exposição comunitária/outro")))</x:f>
      </x:c>
      <x:c r="Q408" s="16" t="str">
        <x:f>IF(A408="","",IF(P408="Pós-óbito","Sim","Não"))</x:f>
      </x:c>
    </x:row>
    <x:row r="409">
      <x:c r="A409" s="16" t="str"/>
      <x:c r="B409" s="16" t="str"/>
      <x:c r="C409" s="16" t="str"/>
      <x:c r="D409" s="28" t="str"/>
      <x:c r="E409" s="16" t="str"/>
      <x:c r="F409" s="16" t="str"/>
      <x:c r="G409" s="16" t="str"/>
      <x:c r="H409" s="16" t="str"/>
      <x:c r="I409" s="28" t="str"/>
      <x:c r="J409" s="28" t="str"/>
      <x:c r="K409" s="28" t="str"/>
      <x:c r="L409" s="16" t="str"/>
      <x:c r="M409" s="28" t="str">
        <x:f>IF(D409="","",D409+21)</x:f>
      </x:c>
      <x:c r="N409" s="16" t="str">
        <x:f>IF(M409="","",M409-TODAY())</x:f>
      </x:c>
      <x:c r="O409" s="16" t="str">
        <x:f>IF(A409="","",IF(OR(H409="Encerrado",H409="Descartado"),"Encerrado",IF(OR(H409="Sintomático",H409="Suspeito",H409="Confirmado",H409="Óbito"),"Requer avaliação/ação",IF(N409&lt;0,"Prazo concluído","Em monitoramento"))))</x:f>
      </x:c>
      <x:c r="P409" s="16" t="str">
        <x:f>IF(A409="","",IF(OR(E409="Manipulação do corpo",E409="Velório/funeral",E409="Sepultamento",E409="Limpeza/desinfecção"),"Pós-óbito",IF(OR(E409="Transporte do paciente",E409="Cuidado direto",E409="Contato com fluidos",E409="Serviço de saúde",E409="Laboratório"),"Exposição direta/assistencial","Exposição comunitária/outro")))</x:f>
      </x:c>
      <x:c r="Q409" s="16" t="str">
        <x:f>IF(A409="","",IF(P409="Pós-óbito","Sim","Não"))</x:f>
      </x:c>
    </x:row>
    <x:row r="410">
      <x:c r="A410" s="16" t="str"/>
      <x:c r="B410" s="16" t="str"/>
      <x:c r="C410" s="16" t="str"/>
      <x:c r="D410" s="28" t="str"/>
      <x:c r="E410" s="16" t="str"/>
      <x:c r="F410" s="16" t="str"/>
      <x:c r="G410" s="16" t="str"/>
      <x:c r="H410" s="16" t="str"/>
      <x:c r="I410" s="28" t="str"/>
      <x:c r="J410" s="28" t="str"/>
      <x:c r="K410" s="28" t="str"/>
      <x:c r="L410" s="16" t="str"/>
      <x:c r="M410" s="28" t="str">
        <x:f>IF(D410="","",D410+21)</x:f>
      </x:c>
      <x:c r="N410" s="16" t="str">
        <x:f>IF(M410="","",M410-TODAY())</x:f>
      </x:c>
      <x:c r="O410" s="16" t="str">
        <x:f>IF(A410="","",IF(OR(H410="Encerrado",H410="Descartado"),"Encerrado",IF(OR(H410="Sintomático",H410="Suspeito",H410="Confirmado",H410="Óbito"),"Requer avaliação/ação",IF(N410&lt;0,"Prazo concluído","Em monitoramento"))))</x:f>
      </x:c>
      <x:c r="P410" s="16" t="str">
        <x:f>IF(A410="","",IF(OR(E410="Manipulação do corpo",E410="Velório/funeral",E410="Sepultamento",E410="Limpeza/desinfecção"),"Pós-óbito",IF(OR(E410="Transporte do paciente",E410="Cuidado direto",E410="Contato com fluidos",E410="Serviço de saúde",E410="Laboratório"),"Exposição direta/assistencial","Exposição comunitária/outro")))</x:f>
      </x:c>
      <x:c r="Q410" s="16" t="str">
        <x:f>IF(A410="","",IF(P410="Pós-óbito","Sim","Não"))</x:f>
      </x:c>
    </x:row>
    <x:row r="411">
      <x:c r="A411" s="16" t="str"/>
      <x:c r="B411" s="16" t="str"/>
      <x:c r="C411" s="16" t="str"/>
      <x:c r="D411" s="28" t="str"/>
      <x:c r="E411" s="16" t="str"/>
      <x:c r="F411" s="16" t="str"/>
      <x:c r="G411" s="16" t="str"/>
      <x:c r="H411" s="16" t="str"/>
      <x:c r="I411" s="28" t="str"/>
      <x:c r="J411" s="28" t="str"/>
      <x:c r="K411" s="28" t="str"/>
      <x:c r="L411" s="16" t="str"/>
      <x:c r="M411" s="28" t="str">
        <x:f>IF(D411="","",D411+21)</x:f>
      </x:c>
      <x:c r="N411" s="16" t="str">
        <x:f>IF(M411="","",M411-TODAY())</x:f>
      </x:c>
      <x:c r="O411" s="16" t="str">
        <x:f>IF(A411="","",IF(OR(H411="Encerrado",H411="Descartado"),"Encerrado",IF(OR(H411="Sintomático",H411="Suspeito",H411="Confirmado",H411="Óbito"),"Requer avaliação/ação",IF(N411&lt;0,"Prazo concluído","Em monitoramento"))))</x:f>
      </x:c>
      <x:c r="P411" s="16" t="str">
        <x:f>IF(A411="","",IF(OR(E411="Manipulação do corpo",E411="Velório/funeral",E411="Sepultamento",E411="Limpeza/desinfecção"),"Pós-óbito",IF(OR(E411="Transporte do paciente",E411="Cuidado direto",E411="Contato com fluidos",E411="Serviço de saúde",E411="Laboratório"),"Exposição direta/assistencial","Exposição comunitária/outro")))</x:f>
      </x:c>
      <x:c r="Q411" s="16" t="str">
        <x:f>IF(A411="","",IF(P411="Pós-óbito","Sim","Não"))</x:f>
      </x:c>
    </x:row>
    <x:row r="412">
      <x:c r="A412" s="16" t="str"/>
      <x:c r="B412" s="16" t="str"/>
      <x:c r="C412" s="16" t="str"/>
      <x:c r="D412" s="28" t="str"/>
      <x:c r="E412" s="16" t="str"/>
      <x:c r="F412" s="16" t="str"/>
      <x:c r="G412" s="16" t="str"/>
      <x:c r="H412" s="16" t="str"/>
      <x:c r="I412" s="28" t="str"/>
      <x:c r="J412" s="28" t="str"/>
      <x:c r="K412" s="28" t="str"/>
      <x:c r="L412" s="16" t="str"/>
      <x:c r="M412" s="28" t="str">
        <x:f>IF(D412="","",D412+21)</x:f>
      </x:c>
      <x:c r="N412" s="16" t="str">
        <x:f>IF(M412="","",M412-TODAY())</x:f>
      </x:c>
      <x:c r="O412" s="16" t="str">
        <x:f>IF(A412="","",IF(OR(H412="Encerrado",H412="Descartado"),"Encerrado",IF(OR(H412="Sintomático",H412="Suspeito",H412="Confirmado",H412="Óbito"),"Requer avaliação/ação",IF(N412&lt;0,"Prazo concluído","Em monitoramento"))))</x:f>
      </x:c>
      <x:c r="P412" s="16" t="str">
        <x:f>IF(A412="","",IF(OR(E412="Manipulação do corpo",E412="Velório/funeral",E412="Sepultamento",E412="Limpeza/desinfecção"),"Pós-óbito",IF(OR(E412="Transporte do paciente",E412="Cuidado direto",E412="Contato com fluidos",E412="Serviço de saúde",E412="Laboratório"),"Exposição direta/assistencial","Exposição comunitária/outro")))</x:f>
      </x:c>
      <x:c r="Q412" s="16" t="str">
        <x:f>IF(A412="","",IF(P412="Pós-óbito","Sim","Não"))</x:f>
      </x:c>
    </x:row>
    <x:row r="413">
      <x:c r="A413" s="16" t="str"/>
      <x:c r="B413" s="16" t="str"/>
      <x:c r="C413" s="16" t="str"/>
      <x:c r="D413" s="28" t="str"/>
      <x:c r="E413" s="16" t="str"/>
      <x:c r="F413" s="16" t="str"/>
      <x:c r="G413" s="16" t="str"/>
      <x:c r="H413" s="16" t="str"/>
      <x:c r="I413" s="28" t="str"/>
      <x:c r="J413" s="28" t="str"/>
      <x:c r="K413" s="28" t="str"/>
      <x:c r="L413" s="16" t="str"/>
      <x:c r="M413" s="28" t="str">
        <x:f>IF(D413="","",D413+21)</x:f>
      </x:c>
      <x:c r="N413" s="16" t="str">
        <x:f>IF(M413="","",M413-TODAY())</x:f>
      </x:c>
      <x:c r="O413" s="16" t="str">
        <x:f>IF(A413="","",IF(OR(H413="Encerrado",H413="Descartado"),"Encerrado",IF(OR(H413="Sintomático",H413="Suspeito",H413="Confirmado",H413="Óbito"),"Requer avaliação/ação",IF(N413&lt;0,"Prazo concluído","Em monitoramento"))))</x:f>
      </x:c>
      <x:c r="P413" s="16" t="str">
        <x:f>IF(A413="","",IF(OR(E413="Manipulação do corpo",E413="Velório/funeral",E413="Sepultamento",E413="Limpeza/desinfecção"),"Pós-óbito",IF(OR(E413="Transporte do paciente",E413="Cuidado direto",E413="Contato com fluidos",E413="Serviço de saúde",E413="Laboratório"),"Exposição direta/assistencial","Exposição comunitária/outro")))</x:f>
      </x:c>
      <x:c r="Q413" s="16" t="str">
        <x:f>IF(A413="","",IF(P413="Pós-óbito","Sim","Não"))</x:f>
      </x:c>
    </x:row>
    <x:row r="414">
      <x:c r="A414" s="16" t="str"/>
      <x:c r="B414" s="16" t="str"/>
      <x:c r="C414" s="16" t="str"/>
      <x:c r="D414" s="28" t="str"/>
      <x:c r="E414" s="16" t="str"/>
      <x:c r="F414" s="16" t="str"/>
      <x:c r="G414" s="16" t="str"/>
      <x:c r="H414" s="16" t="str"/>
      <x:c r="I414" s="28" t="str"/>
      <x:c r="J414" s="28" t="str"/>
      <x:c r="K414" s="28" t="str"/>
      <x:c r="L414" s="16" t="str"/>
      <x:c r="M414" s="28" t="str">
        <x:f>IF(D414="","",D414+21)</x:f>
      </x:c>
      <x:c r="N414" s="16" t="str">
        <x:f>IF(M414="","",M414-TODAY())</x:f>
      </x:c>
      <x:c r="O414" s="16" t="str">
        <x:f>IF(A414="","",IF(OR(H414="Encerrado",H414="Descartado"),"Encerrado",IF(OR(H414="Sintomático",H414="Suspeito",H414="Confirmado",H414="Óbito"),"Requer avaliação/ação",IF(N414&lt;0,"Prazo concluído","Em monitoramento"))))</x:f>
      </x:c>
      <x:c r="P414" s="16" t="str">
        <x:f>IF(A414="","",IF(OR(E414="Manipulação do corpo",E414="Velório/funeral",E414="Sepultamento",E414="Limpeza/desinfecção"),"Pós-óbito",IF(OR(E414="Transporte do paciente",E414="Cuidado direto",E414="Contato com fluidos",E414="Serviço de saúde",E414="Laboratório"),"Exposição direta/assistencial","Exposição comunitária/outro")))</x:f>
      </x:c>
      <x:c r="Q414" s="16" t="str">
        <x:f>IF(A414="","",IF(P414="Pós-óbito","Sim","Não"))</x:f>
      </x:c>
    </x:row>
    <x:row r="415">
      <x:c r="A415" s="16" t="str"/>
      <x:c r="B415" s="16" t="str"/>
      <x:c r="C415" s="16" t="str"/>
      <x:c r="D415" s="28" t="str"/>
      <x:c r="E415" s="16" t="str"/>
      <x:c r="F415" s="16" t="str"/>
      <x:c r="G415" s="16" t="str"/>
      <x:c r="H415" s="16" t="str"/>
      <x:c r="I415" s="28" t="str"/>
      <x:c r="J415" s="28" t="str"/>
      <x:c r="K415" s="28" t="str"/>
      <x:c r="L415" s="16" t="str"/>
      <x:c r="M415" s="28" t="str">
        <x:f>IF(D415="","",D415+21)</x:f>
      </x:c>
      <x:c r="N415" s="16" t="str">
        <x:f>IF(M415="","",M415-TODAY())</x:f>
      </x:c>
      <x:c r="O415" s="16" t="str">
        <x:f>IF(A415="","",IF(OR(H415="Encerrado",H415="Descartado"),"Encerrado",IF(OR(H415="Sintomático",H415="Suspeito",H415="Confirmado",H415="Óbito"),"Requer avaliação/ação",IF(N415&lt;0,"Prazo concluído","Em monitoramento"))))</x:f>
      </x:c>
      <x:c r="P415" s="16" t="str">
        <x:f>IF(A415="","",IF(OR(E415="Manipulação do corpo",E415="Velório/funeral",E415="Sepultamento",E415="Limpeza/desinfecção"),"Pós-óbito",IF(OR(E415="Transporte do paciente",E415="Cuidado direto",E415="Contato com fluidos",E415="Serviço de saúde",E415="Laboratório"),"Exposição direta/assistencial","Exposição comunitária/outro")))</x:f>
      </x:c>
      <x:c r="Q415" s="16" t="str">
        <x:f>IF(A415="","",IF(P415="Pós-óbito","Sim","Não"))</x:f>
      </x:c>
    </x:row>
    <x:row r="416">
      <x:c r="A416" s="16" t="str"/>
      <x:c r="B416" s="16" t="str"/>
      <x:c r="C416" s="16" t="str"/>
      <x:c r="D416" s="28" t="str"/>
      <x:c r="E416" s="16" t="str"/>
      <x:c r="F416" s="16" t="str"/>
      <x:c r="G416" s="16" t="str"/>
      <x:c r="H416" s="16" t="str"/>
      <x:c r="I416" s="28" t="str"/>
      <x:c r="J416" s="28" t="str"/>
      <x:c r="K416" s="28" t="str"/>
      <x:c r="L416" s="16" t="str"/>
      <x:c r="M416" s="28" t="str">
        <x:f>IF(D416="","",D416+21)</x:f>
      </x:c>
      <x:c r="N416" s="16" t="str">
        <x:f>IF(M416="","",M416-TODAY())</x:f>
      </x:c>
      <x:c r="O416" s="16" t="str">
        <x:f>IF(A416="","",IF(OR(H416="Encerrado",H416="Descartado"),"Encerrado",IF(OR(H416="Sintomático",H416="Suspeito",H416="Confirmado",H416="Óbito"),"Requer avaliação/ação",IF(N416&lt;0,"Prazo concluído","Em monitoramento"))))</x:f>
      </x:c>
      <x:c r="P416" s="16" t="str">
        <x:f>IF(A416="","",IF(OR(E416="Manipulação do corpo",E416="Velório/funeral",E416="Sepultamento",E416="Limpeza/desinfecção"),"Pós-óbito",IF(OR(E416="Transporte do paciente",E416="Cuidado direto",E416="Contato com fluidos",E416="Serviço de saúde",E416="Laboratório"),"Exposição direta/assistencial","Exposição comunitária/outro")))</x:f>
      </x:c>
      <x:c r="Q416" s="16" t="str">
        <x:f>IF(A416="","",IF(P416="Pós-óbito","Sim","Não"))</x:f>
      </x:c>
    </x:row>
    <x:row r="417">
      <x:c r="A417" s="16" t="str"/>
      <x:c r="B417" s="16" t="str"/>
      <x:c r="C417" s="16" t="str"/>
      <x:c r="D417" s="28" t="str"/>
      <x:c r="E417" s="16" t="str"/>
      <x:c r="F417" s="16" t="str"/>
      <x:c r="G417" s="16" t="str"/>
      <x:c r="H417" s="16" t="str"/>
      <x:c r="I417" s="28" t="str"/>
      <x:c r="J417" s="28" t="str"/>
      <x:c r="K417" s="28" t="str"/>
      <x:c r="L417" s="16" t="str"/>
      <x:c r="M417" s="28" t="str">
        <x:f>IF(D417="","",D417+21)</x:f>
      </x:c>
      <x:c r="N417" s="16" t="str">
        <x:f>IF(M417="","",M417-TODAY())</x:f>
      </x:c>
      <x:c r="O417" s="16" t="str">
        <x:f>IF(A417="","",IF(OR(H417="Encerrado",H417="Descartado"),"Encerrado",IF(OR(H417="Sintomático",H417="Suspeito",H417="Confirmado",H417="Óbito"),"Requer avaliação/ação",IF(N417&lt;0,"Prazo concluído","Em monitoramento"))))</x:f>
      </x:c>
      <x:c r="P417" s="16" t="str">
        <x:f>IF(A417="","",IF(OR(E417="Manipulação do corpo",E417="Velório/funeral",E417="Sepultamento",E417="Limpeza/desinfecção"),"Pós-óbito",IF(OR(E417="Transporte do paciente",E417="Cuidado direto",E417="Contato com fluidos",E417="Serviço de saúde",E417="Laboratório"),"Exposição direta/assistencial","Exposição comunitária/outro")))</x:f>
      </x:c>
      <x:c r="Q417" s="16" t="str">
        <x:f>IF(A417="","",IF(P417="Pós-óbito","Sim","Não"))</x:f>
      </x:c>
    </x:row>
    <x:row r="418">
      <x:c r="A418" s="16" t="str"/>
      <x:c r="B418" s="16" t="str"/>
      <x:c r="C418" s="16" t="str"/>
      <x:c r="D418" s="28" t="str"/>
      <x:c r="E418" s="16" t="str"/>
      <x:c r="F418" s="16" t="str"/>
      <x:c r="G418" s="16" t="str"/>
      <x:c r="H418" s="16" t="str"/>
      <x:c r="I418" s="28" t="str"/>
      <x:c r="J418" s="28" t="str"/>
      <x:c r="K418" s="28" t="str"/>
      <x:c r="L418" s="16" t="str"/>
      <x:c r="M418" s="28" t="str">
        <x:f>IF(D418="","",D418+21)</x:f>
      </x:c>
      <x:c r="N418" s="16" t="str">
        <x:f>IF(M418="","",M418-TODAY())</x:f>
      </x:c>
      <x:c r="O418" s="16" t="str">
        <x:f>IF(A418="","",IF(OR(H418="Encerrado",H418="Descartado"),"Encerrado",IF(OR(H418="Sintomático",H418="Suspeito",H418="Confirmado",H418="Óbito"),"Requer avaliação/ação",IF(N418&lt;0,"Prazo concluído","Em monitoramento"))))</x:f>
      </x:c>
      <x:c r="P418" s="16" t="str">
        <x:f>IF(A418="","",IF(OR(E418="Manipulação do corpo",E418="Velório/funeral",E418="Sepultamento",E418="Limpeza/desinfecção"),"Pós-óbito",IF(OR(E418="Transporte do paciente",E418="Cuidado direto",E418="Contato com fluidos",E418="Serviço de saúde",E418="Laboratório"),"Exposição direta/assistencial","Exposição comunitária/outro")))</x:f>
      </x:c>
      <x:c r="Q418" s="16" t="str">
        <x:f>IF(A418="","",IF(P418="Pós-óbito","Sim","Não"))</x:f>
      </x:c>
    </x:row>
    <x:row r="419">
      <x:c r="A419" s="16" t="str"/>
      <x:c r="B419" s="16" t="str"/>
      <x:c r="C419" s="16" t="str"/>
      <x:c r="D419" s="28" t="str"/>
      <x:c r="E419" s="16" t="str"/>
      <x:c r="F419" s="16" t="str"/>
      <x:c r="G419" s="16" t="str"/>
      <x:c r="H419" s="16" t="str"/>
      <x:c r="I419" s="28" t="str"/>
      <x:c r="J419" s="28" t="str"/>
      <x:c r="K419" s="28" t="str"/>
      <x:c r="L419" s="16" t="str"/>
      <x:c r="M419" s="28" t="str">
        <x:f>IF(D419="","",D419+21)</x:f>
      </x:c>
      <x:c r="N419" s="16" t="str">
        <x:f>IF(M419="","",M419-TODAY())</x:f>
      </x:c>
      <x:c r="O419" s="16" t="str">
        <x:f>IF(A419="","",IF(OR(H419="Encerrado",H419="Descartado"),"Encerrado",IF(OR(H419="Sintomático",H419="Suspeito",H419="Confirmado",H419="Óbito"),"Requer avaliação/ação",IF(N419&lt;0,"Prazo concluído","Em monitoramento"))))</x:f>
      </x:c>
      <x:c r="P419" s="16" t="str">
        <x:f>IF(A419="","",IF(OR(E419="Manipulação do corpo",E419="Velório/funeral",E419="Sepultamento",E419="Limpeza/desinfecção"),"Pós-óbito",IF(OR(E419="Transporte do paciente",E419="Cuidado direto",E419="Contato com fluidos",E419="Serviço de saúde",E419="Laboratório"),"Exposição direta/assistencial","Exposição comunitária/outro")))</x:f>
      </x:c>
      <x:c r="Q419" s="16" t="str">
        <x:f>IF(A419="","",IF(P419="Pós-óbito","Sim","Não"))</x:f>
      </x:c>
    </x:row>
    <x:row r="420">
      <x:c r="A420" s="16" t="str"/>
      <x:c r="B420" s="16" t="str"/>
      <x:c r="C420" s="16" t="str"/>
      <x:c r="D420" s="28" t="str"/>
      <x:c r="E420" s="16" t="str"/>
      <x:c r="F420" s="16" t="str"/>
      <x:c r="G420" s="16" t="str"/>
      <x:c r="H420" s="16" t="str"/>
      <x:c r="I420" s="28" t="str"/>
      <x:c r="J420" s="28" t="str"/>
      <x:c r="K420" s="28" t="str"/>
      <x:c r="L420" s="16" t="str"/>
      <x:c r="M420" s="28" t="str">
        <x:f>IF(D420="","",D420+21)</x:f>
      </x:c>
      <x:c r="N420" s="16" t="str">
        <x:f>IF(M420="","",M420-TODAY())</x:f>
      </x:c>
      <x:c r="O420" s="16" t="str">
        <x:f>IF(A420="","",IF(OR(H420="Encerrado",H420="Descartado"),"Encerrado",IF(OR(H420="Sintomático",H420="Suspeito",H420="Confirmado",H420="Óbito"),"Requer avaliação/ação",IF(N420&lt;0,"Prazo concluído","Em monitoramento"))))</x:f>
      </x:c>
      <x:c r="P420" s="16" t="str">
        <x:f>IF(A420="","",IF(OR(E420="Manipulação do corpo",E420="Velório/funeral",E420="Sepultamento",E420="Limpeza/desinfecção"),"Pós-óbito",IF(OR(E420="Transporte do paciente",E420="Cuidado direto",E420="Contato com fluidos",E420="Serviço de saúde",E420="Laboratório"),"Exposição direta/assistencial","Exposição comunitária/outro")))</x:f>
      </x:c>
      <x:c r="Q420" s="16" t="str">
        <x:f>IF(A420="","",IF(P420="Pós-óbito","Sim","Não"))</x:f>
      </x:c>
    </x:row>
    <x:row r="421">
      <x:c r="A421" s="16" t="str"/>
      <x:c r="B421" s="16" t="str"/>
      <x:c r="C421" s="16" t="str"/>
      <x:c r="D421" s="28" t="str"/>
      <x:c r="E421" s="16" t="str"/>
      <x:c r="F421" s="16" t="str"/>
      <x:c r="G421" s="16" t="str"/>
      <x:c r="H421" s="16" t="str"/>
      <x:c r="I421" s="28" t="str"/>
      <x:c r="J421" s="28" t="str"/>
      <x:c r="K421" s="28" t="str"/>
      <x:c r="L421" s="16" t="str"/>
      <x:c r="M421" s="28" t="str">
        <x:f>IF(D421="","",D421+21)</x:f>
      </x:c>
      <x:c r="N421" s="16" t="str">
        <x:f>IF(M421="","",M421-TODAY())</x:f>
      </x:c>
      <x:c r="O421" s="16" t="str">
        <x:f>IF(A421="","",IF(OR(H421="Encerrado",H421="Descartado"),"Encerrado",IF(OR(H421="Sintomático",H421="Suspeito",H421="Confirmado",H421="Óbito"),"Requer avaliação/ação",IF(N421&lt;0,"Prazo concluído","Em monitoramento"))))</x:f>
      </x:c>
      <x:c r="P421" s="16" t="str">
        <x:f>IF(A421="","",IF(OR(E421="Manipulação do corpo",E421="Velório/funeral",E421="Sepultamento",E421="Limpeza/desinfecção"),"Pós-óbito",IF(OR(E421="Transporte do paciente",E421="Cuidado direto",E421="Contato com fluidos",E421="Serviço de saúde",E421="Laboratório"),"Exposição direta/assistencial","Exposição comunitária/outro")))</x:f>
      </x:c>
      <x:c r="Q421" s="16" t="str">
        <x:f>IF(A421="","",IF(P421="Pós-óbito","Sim","Não"))</x:f>
      </x:c>
    </x:row>
    <x:row r="422">
      <x:c r="A422" s="16" t="str"/>
      <x:c r="B422" s="16" t="str"/>
      <x:c r="C422" s="16" t="str"/>
      <x:c r="D422" s="28" t="str"/>
      <x:c r="E422" s="16" t="str"/>
      <x:c r="F422" s="16" t="str"/>
      <x:c r="G422" s="16" t="str"/>
      <x:c r="H422" s="16" t="str"/>
      <x:c r="I422" s="28" t="str"/>
      <x:c r="J422" s="28" t="str"/>
      <x:c r="K422" s="28" t="str"/>
      <x:c r="L422" s="16" t="str"/>
      <x:c r="M422" s="28" t="str">
        <x:f>IF(D422="","",D422+21)</x:f>
      </x:c>
      <x:c r="N422" s="16" t="str">
        <x:f>IF(M422="","",M422-TODAY())</x:f>
      </x:c>
      <x:c r="O422" s="16" t="str">
        <x:f>IF(A422="","",IF(OR(H422="Encerrado",H422="Descartado"),"Encerrado",IF(OR(H422="Sintomático",H422="Suspeito",H422="Confirmado",H422="Óbito"),"Requer avaliação/ação",IF(N422&lt;0,"Prazo concluído","Em monitoramento"))))</x:f>
      </x:c>
      <x:c r="P422" s="16" t="str">
        <x:f>IF(A422="","",IF(OR(E422="Manipulação do corpo",E422="Velório/funeral",E422="Sepultamento",E422="Limpeza/desinfecção"),"Pós-óbito",IF(OR(E422="Transporte do paciente",E422="Cuidado direto",E422="Contato com fluidos",E422="Serviço de saúde",E422="Laboratório"),"Exposição direta/assistencial","Exposição comunitária/outro")))</x:f>
      </x:c>
      <x:c r="Q422" s="16" t="str">
        <x:f>IF(A422="","",IF(P422="Pós-óbito","Sim","Não"))</x:f>
      </x:c>
    </x:row>
    <x:row r="423">
      <x:c r="A423" s="16" t="str"/>
      <x:c r="B423" s="16" t="str"/>
      <x:c r="C423" s="16" t="str"/>
      <x:c r="D423" s="28" t="str"/>
      <x:c r="E423" s="16" t="str"/>
      <x:c r="F423" s="16" t="str"/>
      <x:c r="G423" s="16" t="str"/>
      <x:c r="H423" s="16" t="str"/>
      <x:c r="I423" s="28" t="str"/>
      <x:c r="J423" s="28" t="str"/>
      <x:c r="K423" s="28" t="str"/>
      <x:c r="L423" s="16" t="str"/>
      <x:c r="M423" s="28" t="str">
        <x:f>IF(D423="","",D423+21)</x:f>
      </x:c>
      <x:c r="N423" s="16" t="str">
        <x:f>IF(M423="","",M423-TODAY())</x:f>
      </x:c>
      <x:c r="O423" s="16" t="str">
        <x:f>IF(A423="","",IF(OR(H423="Encerrado",H423="Descartado"),"Encerrado",IF(OR(H423="Sintomático",H423="Suspeito",H423="Confirmado",H423="Óbito"),"Requer avaliação/ação",IF(N423&lt;0,"Prazo concluído","Em monitoramento"))))</x:f>
      </x:c>
      <x:c r="P423" s="16" t="str">
        <x:f>IF(A423="","",IF(OR(E423="Manipulação do corpo",E423="Velório/funeral",E423="Sepultamento",E423="Limpeza/desinfecção"),"Pós-óbito",IF(OR(E423="Transporte do paciente",E423="Cuidado direto",E423="Contato com fluidos",E423="Serviço de saúde",E423="Laboratório"),"Exposição direta/assistencial","Exposição comunitária/outro")))</x:f>
      </x:c>
      <x:c r="Q423" s="16" t="str">
        <x:f>IF(A423="","",IF(P423="Pós-óbito","Sim","Não"))</x:f>
      </x:c>
    </x:row>
    <x:row r="424">
      <x:c r="A424" s="16" t="str"/>
      <x:c r="B424" s="16" t="str"/>
      <x:c r="C424" s="16" t="str"/>
      <x:c r="D424" s="28" t="str"/>
      <x:c r="E424" s="16" t="str"/>
      <x:c r="F424" s="16" t="str"/>
      <x:c r="G424" s="16" t="str"/>
      <x:c r="H424" s="16" t="str"/>
      <x:c r="I424" s="28" t="str"/>
      <x:c r="J424" s="28" t="str"/>
      <x:c r="K424" s="28" t="str"/>
      <x:c r="L424" s="16" t="str"/>
      <x:c r="M424" s="28" t="str">
        <x:f>IF(D424="","",D424+21)</x:f>
      </x:c>
      <x:c r="N424" s="16" t="str">
        <x:f>IF(M424="","",M424-TODAY())</x:f>
      </x:c>
      <x:c r="O424" s="16" t="str">
        <x:f>IF(A424="","",IF(OR(H424="Encerrado",H424="Descartado"),"Encerrado",IF(OR(H424="Sintomático",H424="Suspeito",H424="Confirmado",H424="Óbito"),"Requer avaliação/ação",IF(N424&lt;0,"Prazo concluído","Em monitoramento"))))</x:f>
      </x:c>
      <x:c r="P424" s="16" t="str">
        <x:f>IF(A424="","",IF(OR(E424="Manipulação do corpo",E424="Velório/funeral",E424="Sepultamento",E424="Limpeza/desinfecção"),"Pós-óbito",IF(OR(E424="Transporte do paciente",E424="Cuidado direto",E424="Contato com fluidos",E424="Serviço de saúde",E424="Laboratório"),"Exposição direta/assistencial","Exposição comunitária/outro")))</x:f>
      </x:c>
      <x:c r="Q424" s="16" t="str">
        <x:f>IF(A424="","",IF(P424="Pós-óbito","Sim","Não"))</x:f>
      </x:c>
    </x:row>
    <x:row r="425">
      <x:c r="A425" s="16" t="str"/>
      <x:c r="B425" s="16" t="str"/>
      <x:c r="C425" s="16" t="str"/>
      <x:c r="D425" s="28" t="str"/>
      <x:c r="E425" s="16" t="str"/>
      <x:c r="F425" s="16" t="str"/>
      <x:c r="G425" s="16" t="str"/>
      <x:c r="H425" s="16" t="str"/>
      <x:c r="I425" s="28" t="str"/>
      <x:c r="J425" s="28" t="str"/>
      <x:c r="K425" s="28" t="str"/>
      <x:c r="L425" s="16" t="str"/>
      <x:c r="M425" s="28" t="str">
        <x:f>IF(D425="","",D425+21)</x:f>
      </x:c>
      <x:c r="N425" s="16" t="str">
        <x:f>IF(M425="","",M425-TODAY())</x:f>
      </x:c>
      <x:c r="O425" s="16" t="str">
        <x:f>IF(A425="","",IF(OR(H425="Encerrado",H425="Descartado"),"Encerrado",IF(OR(H425="Sintomático",H425="Suspeito",H425="Confirmado",H425="Óbito"),"Requer avaliação/ação",IF(N425&lt;0,"Prazo concluído","Em monitoramento"))))</x:f>
      </x:c>
      <x:c r="P425" s="16" t="str">
        <x:f>IF(A425="","",IF(OR(E425="Manipulação do corpo",E425="Velório/funeral",E425="Sepultamento",E425="Limpeza/desinfecção"),"Pós-óbito",IF(OR(E425="Transporte do paciente",E425="Cuidado direto",E425="Contato com fluidos",E425="Serviço de saúde",E425="Laboratório"),"Exposição direta/assistencial","Exposição comunitária/outro")))</x:f>
      </x:c>
      <x:c r="Q425" s="16" t="str">
        <x:f>IF(A425="","",IF(P425="Pós-óbito","Sim","Não"))</x:f>
      </x:c>
    </x:row>
    <x:row r="426">
      <x:c r="A426" s="16" t="str"/>
      <x:c r="B426" s="16" t="str"/>
      <x:c r="C426" s="16" t="str"/>
      <x:c r="D426" s="28" t="str"/>
      <x:c r="E426" s="16" t="str"/>
      <x:c r="F426" s="16" t="str"/>
      <x:c r="G426" s="16" t="str"/>
      <x:c r="H426" s="16" t="str"/>
      <x:c r="I426" s="28" t="str"/>
      <x:c r="J426" s="28" t="str"/>
      <x:c r="K426" s="28" t="str"/>
      <x:c r="L426" s="16" t="str"/>
      <x:c r="M426" s="28" t="str">
        <x:f>IF(D426="","",D426+21)</x:f>
      </x:c>
      <x:c r="N426" s="16" t="str">
        <x:f>IF(M426="","",M426-TODAY())</x:f>
      </x:c>
      <x:c r="O426" s="16" t="str">
        <x:f>IF(A426="","",IF(OR(H426="Encerrado",H426="Descartado"),"Encerrado",IF(OR(H426="Sintomático",H426="Suspeito",H426="Confirmado",H426="Óbito"),"Requer avaliação/ação",IF(N426&lt;0,"Prazo concluído","Em monitoramento"))))</x:f>
      </x:c>
      <x:c r="P426" s="16" t="str">
        <x:f>IF(A426="","",IF(OR(E426="Manipulação do corpo",E426="Velório/funeral",E426="Sepultamento",E426="Limpeza/desinfecção"),"Pós-óbito",IF(OR(E426="Transporte do paciente",E426="Cuidado direto",E426="Contato com fluidos",E426="Serviço de saúde",E426="Laboratório"),"Exposição direta/assistencial","Exposição comunitária/outro")))</x:f>
      </x:c>
      <x:c r="Q426" s="16" t="str">
        <x:f>IF(A426="","",IF(P426="Pós-óbito","Sim","Não"))</x:f>
      </x:c>
    </x:row>
    <x:row r="427">
      <x:c r="A427" s="16" t="str"/>
      <x:c r="B427" s="16" t="str"/>
      <x:c r="C427" s="16" t="str"/>
      <x:c r="D427" s="28" t="str"/>
      <x:c r="E427" s="16" t="str"/>
      <x:c r="F427" s="16" t="str"/>
      <x:c r="G427" s="16" t="str"/>
      <x:c r="H427" s="16" t="str"/>
      <x:c r="I427" s="28" t="str"/>
      <x:c r="J427" s="28" t="str"/>
      <x:c r="K427" s="28" t="str"/>
      <x:c r="L427" s="16" t="str"/>
      <x:c r="M427" s="28" t="str">
        <x:f>IF(D427="","",D427+21)</x:f>
      </x:c>
      <x:c r="N427" s="16" t="str">
        <x:f>IF(M427="","",M427-TODAY())</x:f>
      </x:c>
      <x:c r="O427" s="16" t="str">
        <x:f>IF(A427="","",IF(OR(H427="Encerrado",H427="Descartado"),"Encerrado",IF(OR(H427="Sintomático",H427="Suspeito",H427="Confirmado",H427="Óbito"),"Requer avaliação/ação",IF(N427&lt;0,"Prazo concluído","Em monitoramento"))))</x:f>
      </x:c>
      <x:c r="P427" s="16" t="str">
        <x:f>IF(A427="","",IF(OR(E427="Manipulação do corpo",E427="Velório/funeral",E427="Sepultamento",E427="Limpeza/desinfecção"),"Pós-óbito",IF(OR(E427="Transporte do paciente",E427="Cuidado direto",E427="Contato com fluidos",E427="Serviço de saúde",E427="Laboratório"),"Exposição direta/assistencial","Exposição comunitária/outro")))</x:f>
      </x:c>
      <x:c r="Q427" s="16" t="str">
        <x:f>IF(A427="","",IF(P427="Pós-óbito","Sim","Não"))</x:f>
      </x:c>
    </x:row>
    <x:row r="428">
      <x:c r="A428" s="16" t="str"/>
      <x:c r="B428" s="16" t="str"/>
      <x:c r="C428" s="16" t="str"/>
      <x:c r="D428" s="28" t="str"/>
      <x:c r="E428" s="16" t="str"/>
      <x:c r="F428" s="16" t="str"/>
      <x:c r="G428" s="16" t="str"/>
      <x:c r="H428" s="16" t="str"/>
      <x:c r="I428" s="28" t="str"/>
      <x:c r="J428" s="28" t="str"/>
      <x:c r="K428" s="28" t="str"/>
      <x:c r="L428" s="16" t="str"/>
      <x:c r="M428" s="28" t="str">
        <x:f>IF(D428="","",D428+21)</x:f>
      </x:c>
      <x:c r="N428" s="16" t="str">
        <x:f>IF(M428="","",M428-TODAY())</x:f>
      </x:c>
      <x:c r="O428" s="16" t="str">
        <x:f>IF(A428="","",IF(OR(H428="Encerrado",H428="Descartado"),"Encerrado",IF(OR(H428="Sintomático",H428="Suspeito",H428="Confirmado",H428="Óbito"),"Requer avaliação/ação",IF(N428&lt;0,"Prazo concluído","Em monitoramento"))))</x:f>
      </x:c>
      <x:c r="P428" s="16" t="str">
        <x:f>IF(A428="","",IF(OR(E428="Manipulação do corpo",E428="Velório/funeral",E428="Sepultamento",E428="Limpeza/desinfecção"),"Pós-óbito",IF(OR(E428="Transporte do paciente",E428="Cuidado direto",E428="Contato com fluidos",E428="Serviço de saúde",E428="Laboratório"),"Exposição direta/assistencial","Exposição comunitária/outro")))</x:f>
      </x:c>
      <x:c r="Q428" s="16" t="str">
        <x:f>IF(A428="","",IF(P428="Pós-óbito","Sim","Não"))</x:f>
      </x:c>
    </x:row>
    <x:row r="429">
      <x:c r="A429" s="16" t="str"/>
      <x:c r="B429" s="16" t="str"/>
      <x:c r="C429" s="16" t="str"/>
      <x:c r="D429" s="28" t="str"/>
      <x:c r="E429" s="16" t="str"/>
      <x:c r="F429" s="16" t="str"/>
      <x:c r="G429" s="16" t="str"/>
      <x:c r="H429" s="16" t="str"/>
      <x:c r="I429" s="28" t="str"/>
      <x:c r="J429" s="28" t="str"/>
      <x:c r="K429" s="28" t="str"/>
      <x:c r="L429" s="16" t="str"/>
      <x:c r="M429" s="28" t="str">
        <x:f>IF(D429="","",D429+21)</x:f>
      </x:c>
      <x:c r="N429" s="16" t="str">
        <x:f>IF(M429="","",M429-TODAY())</x:f>
      </x:c>
      <x:c r="O429" s="16" t="str">
        <x:f>IF(A429="","",IF(OR(H429="Encerrado",H429="Descartado"),"Encerrado",IF(OR(H429="Sintomático",H429="Suspeito",H429="Confirmado",H429="Óbito"),"Requer avaliação/ação",IF(N429&lt;0,"Prazo concluído","Em monitoramento"))))</x:f>
      </x:c>
      <x:c r="P429" s="16" t="str">
        <x:f>IF(A429="","",IF(OR(E429="Manipulação do corpo",E429="Velório/funeral",E429="Sepultamento",E429="Limpeza/desinfecção"),"Pós-óbito",IF(OR(E429="Transporte do paciente",E429="Cuidado direto",E429="Contato com fluidos",E429="Serviço de saúde",E429="Laboratório"),"Exposição direta/assistencial","Exposição comunitária/outro")))</x:f>
      </x:c>
      <x:c r="Q429" s="16" t="str">
        <x:f>IF(A429="","",IF(P429="Pós-óbito","Sim","Não"))</x:f>
      </x:c>
    </x:row>
    <x:row r="430">
      <x:c r="A430" s="16" t="str"/>
      <x:c r="B430" s="16" t="str"/>
      <x:c r="C430" s="16" t="str"/>
      <x:c r="D430" s="28" t="str"/>
      <x:c r="E430" s="16" t="str"/>
      <x:c r="F430" s="16" t="str"/>
      <x:c r="G430" s="16" t="str"/>
      <x:c r="H430" s="16" t="str"/>
      <x:c r="I430" s="28" t="str"/>
      <x:c r="J430" s="28" t="str"/>
      <x:c r="K430" s="28" t="str"/>
      <x:c r="L430" s="16" t="str"/>
      <x:c r="M430" s="28" t="str">
        <x:f>IF(D430="","",D430+21)</x:f>
      </x:c>
      <x:c r="N430" s="16" t="str">
        <x:f>IF(M430="","",M430-TODAY())</x:f>
      </x:c>
      <x:c r="O430" s="16" t="str">
        <x:f>IF(A430="","",IF(OR(H430="Encerrado",H430="Descartado"),"Encerrado",IF(OR(H430="Sintomático",H430="Suspeito",H430="Confirmado",H430="Óbito"),"Requer avaliação/ação",IF(N430&lt;0,"Prazo concluído","Em monitoramento"))))</x:f>
      </x:c>
      <x:c r="P430" s="16" t="str">
        <x:f>IF(A430="","",IF(OR(E430="Manipulação do corpo",E430="Velório/funeral",E430="Sepultamento",E430="Limpeza/desinfecção"),"Pós-óbito",IF(OR(E430="Transporte do paciente",E430="Cuidado direto",E430="Contato com fluidos",E430="Serviço de saúde",E430="Laboratório"),"Exposição direta/assistencial","Exposição comunitária/outro")))</x:f>
      </x:c>
      <x:c r="Q430" s="16" t="str">
        <x:f>IF(A430="","",IF(P430="Pós-óbito","Sim","Não"))</x:f>
      </x:c>
    </x:row>
    <x:row r="431">
      <x:c r="A431" s="16" t="str"/>
      <x:c r="B431" s="16" t="str"/>
      <x:c r="C431" s="16" t="str"/>
      <x:c r="D431" s="28" t="str"/>
      <x:c r="E431" s="16" t="str"/>
      <x:c r="F431" s="16" t="str"/>
      <x:c r="G431" s="16" t="str"/>
      <x:c r="H431" s="16" t="str"/>
      <x:c r="I431" s="28" t="str"/>
      <x:c r="J431" s="28" t="str"/>
      <x:c r="K431" s="28" t="str"/>
      <x:c r="L431" s="16" t="str"/>
      <x:c r="M431" s="28" t="str">
        <x:f>IF(D431="","",D431+21)</x:f>
      </x:c>
      <x:c r="N431" s="16" t="str">
        <x:f>IF(M431="","",M431-TODAY())</x:f>
      </x:c>
      <x:c r="O431" s="16" t="str">
        <x:f>IF(A431="","",IF(OR(H431="Encerrado",H431="Descartado"),"Encerrado",IF(OR(H431="Sintomático",H431="Suspeito",H431="Confirmado",H431="Óbito"),"Requer avaliação/ação",IF(N431&lt;0,"Prazo concluído","Em monitoramento"))))</x:f>
      </x:c>
      <x:c r="P431" s="16" t="str">
        <x:f>IF(A431="","",IF(OR(E431="Manipulação do corpo",E431="Velório/funeral",E431="Sepultamento",E431="Limpeza/desinfecção"),"Pós-óbito",IF(OR(E431="Transporte do paciente",E431="Cuidado direto",E431="Contato com fluidos",E431="Serviço de saúde",E431="Laboratório"),"Exposição direta/assistencial","Exposição comunitária/outro")))</x:f>
      </x:c>
      <x:c r="Q431" s="16" t="str">
        <x:f>IF(A431="","",IF(P431="Pós-óbito","Sim","Não"))</x:f>
      </x:c>
    </x:row>
    <x:row r="432">
      <x:c r="A432" s="16" t="str"/>
      <x:c r="B432" s="16" t="str"/>
      <x:c r="C432" s="16" t="str"/>
      <x:c r="D432" s="28" t="str"/>
      <x:c r="E432" s="16" t="str"/>
      <x:c r="F432" s="16" t="str"/>
      <x:c r="G432" s="16" t="str"/>
      <x:c r="H432" s="16" t="str"/>
      <x:c r="I432" s="28" t="str"/>
      <x:c r="J432" s="28" t="str"/>
      <x:c r="K432" s="28" t="str"/>
      <x:c r="L432" s="16" t="str"/>
      <x:c r="M432" s="28" t="str">
        <x:f>IF(D432="","",D432+21)</x:f>
      </x:c>
      <x:c r="N432" s="16" t="str">
        <x:f>IF(M432="","",M432-TODAY())</x:f>
      </x:c>
      <x:c r="O432" s="16" t="str">
        <x:f>IF(A432="","",IF(OR(H432="Encerrado",H432="Descartado"),"Encerrado",IF(OR(H432="Sintomático",H432="Suspeito",H432="Confirmado",H432="Óbito"),"Requer avaliação/ação",IF(N432&lt;0,"Prazo concluído","Em monitoramento"))))</x:f>
      </x:c>
      <x:c r="P432" s="16" t="str">
        <x:f>IF(A432="","",IF(OR(E432="Manipulação do corpo",E432="Velório/funeral",E432="Sepultamento",E432="Limpeza/desinfecção"),"Pós-óbito",IF(OR(E432="Transporte do paciente",E432="Cuidado direto",E432="Contato com fluidos",E432="Serviço de saúde",E432="Laboratório"),"Exposição direta/assistencial","Exposição comunitária/outro")))</x:f>
      </x:c>
      <x:c r="Q432" s="16" t="str">
        <x:f>IF(A432="","",IF(P432="Pós-óbito","Sim","Não"))</x:f>
      </x:c>
    </x:row>
    <x:row r="433">
      <x:c r="A433" s="16" t="str"/>
      <x:c r="B433" s="16" t="str"/>
      <x:c r="C433" s="16" t="str"/>
      <x:c r="D433" s="28" t="str"/>
      <x:c r="E433" s="16" t="str"/>
      <x:c r="F433" s="16" t="str"/>
      <x:c r="G433" s="16" t="str"/>
      <x:c r="H433" s="16" t="str"/>
      <x:c r="I433" s="28" t="str"/>
      <x:c r="J433" s="28" t="str"/>
      <x:c r="K433" s="28" t="str"/>
      <x:c r="L433" s="16" t="str"/>
      <x:c r="M433" s="28" t="str">
        <x:f>IF(D433="","",D433+21)</x:f>
      </x:c>
      <x:c r="N433" s="16" t="str">
        <x:f>IF(M433="","",M433-TODAY())</x:f>
      </x:c>
      <x:c r="O433" s="16" t="str">
        <x:f>IF(A433="","",IF(OR(H433="Encerrado",H433="Descartado"),"Encerrado",IF(OR(H433="Sintomático",H433="Suspeito",H433="Confirmado",H433="Óbito"),"Requer avaliação/ação",IF(N433&lt;0,"Prazo concluído","Em monitoramento"))))</x:f>
      </x:c>
      <x:c r="P433" s="16" t="str">
        <x:f>IF(A433="","",IF(OR(E433="Manipulação do corpo",E433="Velório/funeral",E433="Sepultamento",E433="Limpeza/desinfecção"),"Pós-óbito",IF(OR(E433="Transporte do paciente",E433="Cuidado direto",E433="Contato com fluidos",E433="Serviço de saúde",E433="Laboratório"),"Exposição direta/assistencial","Exposição comunitária/outro")))</x:f>
      </x:c>
      <x:c r="Q433" s="16" t="str">
        <x:f>IF(A433="","",IF(P433="Pós-óbito","Sim","Não"))</x:f>
      </x:c>
    </x:row>
    <x:row r="434">
      <x:c r="A434" s="16" t="str"/>
      <x:c r="B434" s="16" t="str"/>
      <x:c r="C434" s="16" t="str"/>
      <x:c r="D434" s="28" t="str"/>
      <x:c r="E434" s="16" t="str"/>
      <x:c r="F434" s="16" t="str"/>
      <x:c r="G434" s="16" t="str"/>
      <x:c r="H434" s="16" t="str"/>
      <x:c r="I434" s="28" t="str"/>
      <x:c r="J434" s="28" t="str"/>
      <x:c r="K434" s="28" t="str"/>
      <x:c r="L434" s="16" t="str"/>
      <x:c r="M434" s="28" t="str">
        <x:f>IF(D434="","",D434+21)</x:f>
      </x:c>
      <x:c r="N434" s="16" t="str">
        <x:f>IF(M434="","",M434-TODAY())</x:f>
      </x:c>
      <x:c r="O434" s="16" t="str">
        <x:f>IF(A434="","",IF(OR(H434="Encerrado",H434="Descartado"),"Encerrado",IF(OR(H434="Sintomático",H434="Suspeito",H434="Confirmado",H434="Óbito"),"Requer avaliação/ação",IF(N434&lt;0,"Prazo concluído","Em monitoramento"))))</x:f>
      </x:c>
      <x:c r="P434" s="16" t="str">
        <x:f>IF(A434="","",IF(OR(E434="Manipulação do corpo",E434="Velório/funeral",E434="Sepultamento",E434="Limpeza/desinfecção"),"Pós-óbito",IF(OR(E434="Transporte do paciente",E434="Cuidado direto",E434="Contato com fluidos",E434="Serviço de saúde",E434="Laboratório"),"Exposição direta/assistencial","Exposição comunitária/outro")))</x:f>
      </x:c>
      <x:c r="Q434" s="16" t="str">
        <x:f>IF(A434="","",IF(P434="Pós-óbito","Sim","Não"))</x:f>
      </x:c>
    </x:row>
    <x:row r="435">
      <x:c r="A435" s="16" t="str"/>
      <x:c r="B435" s="16" t="str"/>
      <x:c r="C435" s="16" t="str"/>
      <x:c r="D435" s="28" t="str"/>
      <x:c r="E435" s="16" t="str"/>
      <x:c r="F435" s="16" t="str"/>
      <x:c r="G435" s="16" t="str"/>
      <x:c r="H435" s="16" t="str"/>
      <x:c r="I435" s="28" t="str"/>
      <x:c r="J435" s="28" t="str"/>
      <x:c r="K435" s="28" t="str"/>
      <x:c r="L435" s="16" t="str"/>
      <x:c r="M435" s="28" t="str">
        <x:f>IF(D435="","",D435+21)</x:f>
      </x:c>
      <x:c r="N435" s="16" t="str">
        <x:f>IF(M435="","",M435-TODAY())</x:f>
      </x:c>
      <x:c r="O435" s="16" t="str">
        <x:f>IF(A435="","",IF(OR(H435="Encerrado",H435="Descartado"),"Encerrado",IF(OR(H435="Sintomático",H435="Suspeito",H435="Confirmado",H435="Óbito"),"Requer avaliação/ação",IF(N435&lt;0,"Prazo concluído","Em monitoramento"))))</x:f>
      </x:c>
      <x:c r="P435" s="16" t="str">
        <x:f>IF(A435="","",IF(OR(E435="Manipulação do corpo",E435="Velório/funeral",E435="Sepultamento",E435="Limpeza/desinfecção"),"Pós-óbito",IF(OR(E435="Transporte do paciente",E435="Cuidado direto",E435="Contato com fluidos",E435="Serviço de saúde",E435="Laboratório"),"Exposição direta/assistencial","Exposição comunitária/outro")))</x:f>
      </x:c>
      <x:c r="Q435" s="16" t="str">
        <x:f>IF(A435="","",IF(P435="Pós-óbito","Sim","Não"))</x:f>
      </x:c>
    </x:row>
    <x:row r="436">
      <x:c r="A436" s="16" t="str"/>
      <x:c r="B436" s="16" t="str"/>
      <x:c r="C436" s="16" t="str"/>
      <x:c r="D436" s="28" t="str"/>
      <x:c r="E436" s="16" t="str"/>
      <x:c r="F436" s="16" t="str"/>
      <x:c r="G436" s="16" t="str"/>
      <x:c r="H436" s="16" t="str"/>
      <x:c r="I436" s="28" t="str"/>
      <x:c r="J436" s="28" t="str"/>
      <x:c r="K436" s="28" t="str"/>
      <x:c r="L436" s="16" t="str"/>
      <x:c r="M436" s="28" t="str">
        <x:f>IF(D436="","",D436+21)</x:f>
      </x:c>
      <x:c r="N436" s="16" t="str">
        <x:f>IF(M436="","",M436-TODAY())</x:f>
      </x:c>
      <x:c r="O436" s="16" t="str">
        <x:f>IF(A436="","",IF(OR(H436="Encerrado",H436="Descartado"),"Encerrado",IF(OR(H436="Sintomático",H436="Suspeito",H436="Confirmado",H436="Óbito"),"Requer avaliação/ação",IF(N436&lt;0,"Prazo concluído","Em monitoramento"))))</x:f>
      </x:c>
      <x:c r="P436" s="16" t="str">
        <x:f>IF(A436="","",IF(OR(E436="Manipulação do corpo",E436="Velório/funeral",E436="Sepultamento",E436="Limpeza/desinfecção"),"Pós-óbito",IF(OR(E436="Transporte do paciente",E436="Cuidado direto",E436="Contato com fluidos",E436="Serviço de saúde",E436="Laboratório"),"Exposição direta/assistencial","Exposição comunitária/outro")))</x:f>
      </x:c>
      <x:c r="Q436" s="16" t="str">
        <x:f>IF(A436="","",IF(P436="Pós-óbito","Sim","Não"))</x:f>
      </x:c>
    </x:row>
    <x:row r="437">
      <x:c r="A437" s="16" t="str"/>
      <x:c r="B437" s="16" t="str"/>
      <x:c r="C437" s="16" t="str"/>
      <x:c r="D437" s="28" t="str"/>
      <x:c r="E437" s="16" t="str"/>
      <x:c r="F437" s="16" t="str"/>
      <x:c r="G437" s="16" t="str"/>
      <x:c r="H437" s="16" t="str"/>
      <x:c r="I437" s="28" t="str"/>
      <x:c r="J437" s="28" t="str"/>
      <x:c r="K437" s="28" t="str"/>
      <x:c r="L437" s="16" t="str"/>
      <x:c r="M437" s="28" t="str">
        <x:f>IF(D437="","",D437+21)</x:f>
      </x:c>
      <x:c r="N437" s="16" t="str">
        <x:f>IF(M437="","",M437-TODAY())</x:f>
      </x:c>
      <x:c r="O437" s="16" t="str">
        <x:f>IF(A437="","",IF(OR(H437="Encerrado",H437="Descartado"),"Encerrado",IF(OR(H437="Sintomático",H437="Suspeito",H437="Confirmado",H437="Óbito"),"Requer avaliação/ação",IF(N437&lt;0,"Prazo concluído","Em monitoramento"))))</x:f>
      </x:c>
      <x:c r="P437" s="16" t="str">
        <x:f>IF(A437="","",IF(OR(E437="Manipulação do corpo",E437="Velório/funeral",E437="Sepultamento",E437="Limpeza/desinfecção"),"Pós-óbito",IF(OR(E437="Transporte do paciente",E437="Cuidado direto",E437="Contato com fluidos",E437="Serviço de saúde",E437="Laboratório"),"Exposição direta/assistencial","Exposição comunitária/outro")))</x:f>
      </x:c>
      <x:c r="Q437" s="16" t="str">
        <x:f>IF(A437="","",IF(P437="Pós-óbito","Sim","Não"))</x:f>
      </x:c>
    </x:row>
    <x:row r="438">
      <x:c r="A438" s="16" t="str"/>
      <x:c r="B438" s="16" t="str"/>
      <x:c r="C438" s="16" t="str"/>
      <x:c r="D438" s="28" t="str"/>
      <x:c r="E438" s="16" t="str"/>
      <x:c r="F438" s="16" t="str"/>
      <x:c r="G438" s="16" t="str"/>
      <x:c r="H438" s="16" t="str"/>
      <x:c r="I438" s="28" t="str"/>
      <x:c r="J438" s="28" t="str"/>
      <x:c r="K438" s="28" t="str"/>
      <x:c r="L438" s="16" t="str"/>
      <x:c r="M438" s="28" t="str">
        <x:f>IF(D438="","",D438+21)</x:f>
      </x:c>
      <x:c r="N438" s="16" t="str">
        <x:f>IF(M438="","",M438-TODAY())</x:f>
      </x:c>
      <x:c r="O438" s="16" t="str">
        <x:f>IF(A438="","",IF(OR(H438="Encerrado",H438="Descartado"),"Encerrado",IF(OR(H438="Sintomático",H438="Suspeito",H438="Confirmado",H438="Óbito"),"Requer avaliação/ação",IF(N438&lt;0,"Prazo concluído","Em monitoramento"))))</x:f>
      </x:c>
      <x:c r="P438" s="16" t="str">
        <x:f>IF(A438="","",IF(OR(E438="Manipulação do corpo",E438="Velório/funeral",E438="Sepultamento",E438="Limpeza/desinfecção"),"Pós-óbito",IF(OR(E438="Transporte do paciente",E438="Cuidado direto",E438="Contato com fluidos",E438="Serviço de saúde",E438="Laboratório"),"Exposição direta/assistencial","Exposição comunitária/outro")))</x:f>
      </x:c>
      <x:c r="Q438" s="16" t="str">
        <x:f>IF(A438="","",IF(P438="Pós-óbito","Sim","Não"))</x:f>
      </x:c>
    </x:row>
    <x:row r="439">
      <x:c r="A439" s="16" t="str"/>
      <x:c r="B439" s="16" t="str"/>
      <x:c r="C439" s="16" t="str"/>
      <x:c r="D439" s="28" t="str"/>
      <x:c r="E439" s="16" t="str"/>
      <x:c r="F439" s="16" t="str"/>
      <x:c r="G439" s="16" t="str"/>
      <x:c r="H439" s="16" t="str"/>
      <x:c r="I439" s="28" t="str"/>
      <x:c r="J439" s="28" t="str"/>
      <x:c r="K439" s="28" t="str"/>
      <x:c r="L439" s="16" t="str"/>
      <x:c r="M439" s="28" t="str">
        <x:f>IF(D439="","",D439+21)</x:f>
      </x:c>
      <x:c r="N439" s="16" t="str">
        <x:f>IF(M439="","",M439-TODAY())</x:f>
      </x:c>
      <x:c r="O439" s="16" t="str">
        <x:f>IF(A439="","",IF(OR(H439="Encerrado",H439="Descartado"),"Encerrado",IF(OR(H439="Sintomático",H439="Suspeito",H439="Confirmado",H439="Óbito"),"Requer avaliação/ação",IF(N439&lt;0,"Prazo concluído","Em monitoramento"))))</x:f>
      </x:c>
      <x:c r="P439" s="16" t="str">
        <x:f>IF(A439="","",IF(OR(E439="Manipulação do corpo",E439="Velório/funeral",E439="Sepultamento",E439="Limpeza/desinfecção"),"Pós-óbito",IF(OR(E439="Transporte do paciente",E439="Cuidado direto",E439="Contato com fluidos",E439="Serviço de saúde",E439="Laboratório"),"Exposição direta/assistencial","Exposição comunitária/outro")))</x:f>
      </x:c>
      <x:c r="Q439" s="16" t="str">
        <x:f>IF(A439="","",IF(P439="Pós-óbito","Sim","Não"))</x:f>
      </x:c>
    </x:row>
    <x:row r="440">
      <x:c r="A440" s="16" t="str"/>
      <x:c r="B440" s="16" t="str"/>
      <x:c r="C440" s="16" t="str"/>
      <x:c r="D440" s="28" t="str"/>
      <x:c r="E440" s="16" t="str"/>
      <x:c r="F440" s="16" t="str"/>
      <x:c r="G440" s="16" t="str"/>
      <x:c r="H440" s="16" t="str"/>
      <x:c r="I440" s="28" t="str"/>
      <x:c r="J440" s="28" t="str"/>
      <x:c r="K440" s="28" t="str"/>
      <x:c r="L440" s="16" t="str"/>
      <x:c r="M440" s="28" t="str">
        <x:f>IF(D440="","",D440+21)</x:f>
      </x:c>
      <x:c r="N440" s="16" t="str">
        <x:f>IF(M440="","",M440-TODAY())</x:f>
      </x:c>
      <x:c r="O440" s="16" t="str">
        <x:f>IF(A440="","",IF(OR(H440="Encerrado",H440="Descartado"),"Encerrado",IF(OR(H440="Sintomático",H440="Suspeito",H440="Confirmado",H440="Óbito"),"Requer avaliação/ação",IF(N440&lt;0,"Prazo concluído","Em monitoramento"))))</x:f>
      </x:c>
      <x:c r="P440" s="16" t="str">
        <x:f>IF(A440="","",IF(OR(E440="Manipulação do corpo",E440="Velório/funeral",E440="Sepultamento",E440="Limpeza/desinfecção"),"Pós-óbito",IF(OR(E440="Transporte do paciente",E440="Cuidado direto",E440="Contato com fluidos",E440="Serviço de saúde",E440="Laboratório"),"Exposição direta/assistencial","Exposição comunitária/outro")))</x:f>
      </x:c>
      <x:c r="Q440" s="16" t="str">
        <x:f>IF(A440="","",IF(P440="Pós-óbito","Sim","Não"))</x:f>
      </x:c>
    </x:row>
    <x:row r="441">
      <x:c r="A441" s="16" t="str"/>
      <x:c r="B441" s="16" t="str"/>
      <x:c r="C441" s="16" t="str"/>
      <x:c r="D441" s="28" t="str"/>
      <x:c r="E441" s="16" t="str"/>
      <x:c r="F441" s="16" t="str"/>
      <x:c r="G441" s="16" t="str"/>
      <x:c r="H441" s="16" t="str"/>
      <x:c r="I441" s="28" t="str"/>
      <x:c r="J441" s="28" t="str"/>
      <x:c r="K441" s="28" t="str"/>
      <x:c r="L441" s="16" t="str"/>
      <x:c r="M441" s="28" t="str">
        <x:f>IF(D441="","",D441+21)</x:f>
      </x:c>
      <x:c r="N441" s="16" t="str">
        <x:f>IF(M441="","",M441-TODAY())</x:f>
      </x:c>
      <x:c r="O441" s="16" t="str">
        <x:f>IF(A441="","",IF(OR(H441="Encerrado",H441="Descartado"),"Encerrado",IF(OR(H441="Sintomático",H441="Suspeito",H441="Confirmado",H441="Óbito"),"Requer avaliação/ação",IF(N441&lt;0,"Prazo concluído","Em monitoramento"))))</x:f>
      </x:c>
      <x:c r="P441" s="16" t="str">
        <x:f>IF(A441="","",IF(OR(E441="Manipulação do corpo",E441="Velório/funeral",E441="Sepultamento",E441="Limpeza/desinfecção"),"Pós-óbito",IF(OR(E441="Transporte do paciente",E441="Cuidado direto",E441="Contato com fluidos",E441="Serviço de saúde",E441="Laboratório"),"Exposição direta/assistencial","Exposição comunitária/outro")))</x:f>
      </x:c>
      <x:c r="Q441" s="16" t="str">
        <x:f>IF(A441="","",IF(P441="Pós-óbito","Sim","Não"))</x:f>
      </x:c>
    </x:row>
    <x:row r="442">
      <x:c r="A442" s="16" t="str"/>
      <x:c r="B442" s="16" t="str"/>
      <x:c r="C442" s="16" t="str"/>
      <x:c r="D442" s="28" t="str"/>
      <x:c r="E442" s="16" t="str"/>
      <x:c r="F442" s="16" t="str"/>
      <x:c r="G442" s="16" t="str"/>
      <x:c r="H442" s="16" t="str"/>
      <x:c r="I442" s="28" t="str"/>
      <x:c r="J442" s="28" t="str"/>
      <x:c r="K442" s="28" t="str"/>
      <x:c r="L442" s="16" t="str"/>
      <x:c r="M442" s="28" t="str">
        <x:f>IF(D442="","",D442+21)</x:f>
      </x:c>
      <x:c r="N442" s="16" t="str">
        <x:f>IF(M442="","",M442-TODAY())</x:f>
      </x:c>
      <x:c r="O442" s="16" t="str">
        <x:f>IF(A442="","",IF(OR(H442="Encerrado",H442="Descartado"),"Encerrado",IF(OR(H442="Sintomático",H442="Suspeito",H442="Confirmado",H442="Óbito"),"Requer avaliação/ação",IF(N442&lt;0,"Prazo concluído","Em monitoramento"))))</x:f>
      </x:c>
      <x:c r="P442" s="16" t="str">
        <x:f>IF(A442="","",IF(OR(E442="Manipulação do corpo",E442="Velório/funeral",E442="Sepultamento",E442="Limpeza/desinfecção"),"Pós-óbito",IF(OR(E442="Transporte do paciente",E442="Cuidado direto",E442="Contato com fluidos",E442="Serviço de saúde",E442="Laboratório"),"Exposição direta/assistencial","Exposição comunitária/outro")))</x:f>
      </x:c>
      <x:c r="Q442" s="16" t="str">
        <x:f>IF(A442="","",IF(P442="Pós-óbito","Sim","Não"))</x:f>
      </x:c>
    </x:row>
    <x:row r="443">
      <x:c r="A443" s="16" t="str"/>
      <x:c r="B443" s="16" t="str"/>
      <x:c r="C443" s="16" t="str"/>
      <x:c r="D443" s="28" t="str"/>
      <x:c r="E443" s="16" t="str"/>
      <x:c r="F443" s="16" t="str"/>
      <x:c r="G443" s="16" t="str"/>
      <x:c r="H443" s="16" t="str"/>
      <x:c r="I443" s="28" t="str"/>
      <x:c r="J443" s="28" t="str"/>
      <x:c r="K443" s="28" t="str"/>
      <x:c r="L443" s="16" t="str"/>
      <x:c r="M443" s="28" t="str">
        <x:f>IF(D443="","",D443+21)</x:f>
      </x:c>
      <x:c r="N443" s="16" t="str">
        <x:f>IF(M443="","",M443-TODAY())</x:f>
      </x:c>
      <x:c r="O443" s="16" t="str">
        <x:f>IF(A443="","",IF(OR(H443="Encerrado",H443="Descartado"),"Encerrado",IF(OR(H443="Sintomático",H443="Suspeito",H443="Confirmado",H443="Óbito"),"Requer avaliação/ação",IF(N443&lt;0,"Prazo concluído","Em monitoramento"))))</x:f>
      </x:c>
      <x:c r="P443" s="16" t="str">
        <x:f>IF(A443="","",IF(OR(E443="Manipulação do corpo",E443="Velório/funeral",E443="Sepultamento",E443="Limpeza/desinfecção"),"Pós-óbito",IF(OR(E443="Transporte do paciente",E443="Cuidado direto",E443="Contato com fluidos",E443="Serviço de saúde",E443="Laboratório"),"Exposição direta/assistencial","Exposição comunitária/outro")))</x:f>
      </x:c>
      <x:c r="Q443" s="16" t="str">
        <x:f>IF(A443="","",IF(P443="Pós-óbito","Sim","Não"))</x:f>
      </x:c>
    </x:row>
    <x:row r="444">
      <x:c r="A444" s="16" t="str"/>
      <x:c r="B444" s="16" t="str"/>
      <x:c r="C444" s="16" t="str"/>
      <x:c r="D444" s="28" t="str"/>
      <x:c r="E444" s="16" t="str"/>
      <x:c r="F444" s="16" t="str"/>
      <x:c r="G444" s="16" t="str"/>
      <x:c r="H444" s="16" t="str"/>
      <x:c r="I444" s="28" t="str"/>
      <x:c r="J444" s="28" t="str"/>
      <x:c r="K444" s="28" t="str"/>
      <x:c r="L444" s="16" t="str"/>
      <x:c r="M444" s="28" t="str">
        <x:f>IF(D444="","",D444+21)</x:f>
      </x:c>
      <x:c r="N444" s="16" t="str">
        <x:f>IF(M444="","",M444-TODAY())</x:f>
      </x:c>
      <x:c r="O444" s="16" t="str">
        <x:f>IF(A444="","",IF(OR(H444="Encerrado",H444="Descartado"),"Encerrado",IF(OR(H444="Sintomático",H444="Suspeito",H444="Confirmado",H444="Óbito"),"Requer avaliação/ação",IF(N444&lt;0,"Prazo concluído","Em monitoramento"))))</x:f>
      </x:c>
      <x:c r="P444" s="16" t="str">
        <x:f>IF(A444="","",IF(OR(E444="Manipulação do corpo",E444="Velório/funeral",E444="Sepultamento",E444="Limpeza/desinfecção"),"Pós-óbito",IF(OR(E444="Transporte do paciente",E444="Cuidado direto",E444="Contato com fluidos",E444="Serviço de saúde",E444="Laboratório"),"Exposição direta/assistencial","Exposição comunitária/outro")))</x:f>
      </x:c>
      <x:c r="Q444" s="16" t="str">
        <x:f>IF(A444="","",IF(P444="Pós-óbito","Sim","Não"))</x:f>
      </x:c>
    </x:row>
    <x:row r="445">
      <x:c r="A445" s="16" t="str"/>
      <x:c r="B445" s="16" t="str"/>
      <x:c r="C445" s="16" t="str"/>
      <x:c r="D445" s="28" t="str"/>
      <x:c r="E445" s="16" t="str"/>
      <x:c r="F445" s="16" t="str"/>
      <x:c r="G445" s="16" t="str"/>
      <x:c r="H445" s="16" t="str"/>
      <x:c r="I445" s="28" t="str"/>
      <x:c r="J445" s="28" t="str"/>
      <x:c r="K445" s="28" t="str"/>
      <x:c r="L445" s="16" t="str"/>
      <x:c r="M445" s="28" t="str">
        <x:f>IF(D445="","",D445+21)</x:f>
      </x:c>
      <x:c r="N445" s="16" t="str">
        <x:f>IF(M445="","",M445-TODAY())</x:f>
      </x:c>
      <x:c r="O445" s="16" t="str">
        <x:f>IF(A445="","",IF(OR(H445="Encerrado",H445="Descartado"),"Encerrado",IF(OR(H445="Sintomático",H445="Suspeito",H445="Confirmado",H445="Óbito"),"Requer avaliação/ação",IF(N445&lt;0,"Prazo concluído","Em monitoramento"))))</x:f>
      </x:c>
      <x:c r="P445" s="16" t="str">
        <x:f>IF(A445="","",IF(OR(E445="Manipulação do corpo",E445="Velório/funeral",E445="Sepultamento",E445="Limpeza/desinfecção"),"Pós-óbito",IF(OR(E445="Transporte do paciente",E445="Cuidado direto",E445="Contato com fluidos",E445="Serviço de saúde",E445="Laboratório"),"Exposição direta/assistencial","Exposição comunitária/outro")))</x:f>
      </x:c>
      <x:c r="Q445" s="16" t="str">
        <x:f>IF(A445="","",IF(P445="Pós-óbito","Sim","Não"))</x:f>
      </x:c>
    </x:row>
    <x:row r="446">
      <x:c r="A446" s="16" t="str"/>
      <x:c r="B446" s="16" t="str"/>
      <x:c r="C446" s="16" t="str"/>
      <x:c r="D446" s="28" t="str"/>
      <x:c r="E446" s="16" t="str"/>
      <x:c r="F446" s="16" t="str"/>
      <x:c r="G446" s="16" t="str"/>
      <x:c r="H446" s="16" t="str"/>
      <x:c r="I446" s="28" t="str"/>
      <x:c r="J446" s="28" t="str"/>
      <x:c r="K446" s="28" t="str"/>
      <x:c r="L446" s="16" t="str"/>
      <x:c r="M446" s="28" t="str">
        <x:f>IF(D446="","",D446+21)</x:f>
      </x:c>
      <x:c r="N446" s="16" t="str">
        <x:f>IF(M446="","",M446-TODAY())</x:f>
      </x:c>
      <x:c r="O446" s="16" t="str">
        <x:f>IF(A446="","",IF(OR(H446="Encerrado",H446="Descartado"),"Encerrado",IF(OR(H446="Sintomático",H446="Suspeito",H446="Confirmado",H446="Óbito"),"Requer avaliação/ação",IF(N446&lt;0,"Prazo concluído","Em monitoramento"))))</x:f>
      </x:c>
      <x:c r="P446" s="16" t="str">
        <x:f>IF(A446="","",IF(OR(E446="Manipulação do corpo",E446="Velório/funeral",E446="Sepultamento",E446="Limpeza/desinfecção"),"Pós-óbito",IF(OR(E446="Transporte do paciente",E446="Cuidado direto",E446="Contato com fluidos",E446="Serviço de saúde",E446="Laboratório"),"Exposição direta/assistencial","Exposição comunitária/outro")))</x:f>
      </x:c>
      <x:c r="Q446" s="16" t="str">
        <x:f>IF(A446="","",IF(P446="Pós-óbito","Sim","Não"))</x:f>
      </x:c>
    </x:row>
    <x:row r="447">
      <x:c r="A447" s="16" t="str"/>
      <x:c r="B447" s="16" t="str"/>
      <x:c r="C447" s="16" t="str"/>
      <x:c r="D447" s="28" t="str"/>
      <x:c r="E447" s="16" t="str"/>
      <x:c r="F447" s="16" t="str"/>
      <x:c r="G447" s="16" t="str"/>
      <x:c r="H447" s="16" t="str"/>
      <x:c r="I447" s="28" t="str"/>
      <x:c r="J447" s="28" t="str"/>
      <x:c r="K447" s="28" t="str"/>
      <x:c r="L447" s="16" t="str"/>
      <x:c r="M447" s="28" t="str">
        <x:f>IF(D447="","",D447+21)</x:f>
      </x:c>
      <x:c r="N447" s="16" t="str">
        <x:f>IF(M447="","",M447-TODAY())</x:f>
      </x:c>
      <x:c r="O447" s="16" t="str">
        <x:f>IF(A447="","",IF(OR(H447="Encerrado",H447="Descartado"),"Encerrado",IF(OR(H447="Sintomático",H447="Suspeito",H447="Confirmado",H447="Óbito"),"Requer avaliação/ação",IF(N447&lt;0,"Prazo concluído","Em monitoramento"))))</x:f>
      </x:c>
      <x:c r="P447" s="16" t="str">
        <x:f>IF(A447="","",IF(OR(E447="Manipulação do corpo",E447="Velório/funeral",E447="Sepultamento",E447="Limpeza/desinfecção"),"Pós-óbito",IF(OR(E447="Transporte do paciente",E447="Cuidado direto",E447="Contato com fluidos",E447="Serviço de saúde",E447="Laboratório"),"Exposição direta/assistencial","Exposição comunitária/outro")))</x:f>
      </x:c>
      <x:c r="Q447" s="16" t="str">
        <x:f>IF(A447="","",IF(P447="Pós-óbito","Sim","Não"))</x:f>
      </x:c>
    </x:row>
    <x:row r="448">
      <x:c r="A448" s="16" t="str"/>
      <x:c r="B448" s="16" t="str"/>
      <x:c r="C448" s="16" t="str"/>
      <x:c r="D448" s="28" t="str"/>
      <x:c r="E448" s="16" t="str"/>
      <x:c r="F448" s="16" t="str"/>
      <x:c r="G448" s="16" t="str"/>
      <x:c r="H448" s="16" t="str"/>
      <x:c r="I448" s="28" t="str"/>
      <x:c r="J448" s="28" t="str"/>
      <x:c r="K448" s="28" t="str"/>
      <x:c r="L448" s="16" t="str"/>
      <x:c r="M448" s="28" t="str">
        <x:f>IF(D448="","",D448+21)</x:f>
      </x:c>
      <x:c r="N448" s="16" t="str">
        <x:f>IF(M448="","",M448-TODAY())</x:f>
      </x:c>
      <x:c r="O448" s="16" t="str">
        <x:f>IF(A448="","",IF(OR(H448="Encerrado",H448="Descartado"),"Encerrado",IF(OR(H448="Sintomático",H448="Suspeito",H448="Confirmado",H448="Óbito"),"Requer avaliação/ação",IF(N448&lt;0,"Prazo concluído","Em monitoramento"))))</x:f>
      </x:c>
      <x:c r="P448" s="16" t="str">
        <x:f>IF(A448="","",IF(OR(E448="Manipulação do corpo",E448="Velório/funeral",E448="Sepultamento",E448="Limpeza/desinfecção"),"Pós-óbito",IF(OR(E448="Transporte do paciente",E448="Cuidado direto",E448="Contato com fluidos",E448="Serviço de saúde",E448="Laboratório"),"Exposição direta/assistencial","Exposição comunitária/outro")))</x:f>
      </x:c>
      <x:c r="Q448" s="16" t="str">
        <x:f>IF(A448="","",IF(P448="Pós-óbito","Sim","Não"))</x:f>
      </x:c>
    </x:row>
    <x:row r="449">
      <x:c r="A449" s="16" t="str"/>
      <x:c r="B449" s="16" t="str"/>
      <x:c r="C449" s="16" t="str"/>
      <x:c r="D449" s="28" t="str"/>
      <x:c r="E449" s="16" t="str"/>
      <x:c r="F449" s="16" t="str"/>
      <x:c r="G449" s="16" t="str"/>
      <x:c r="H449" s="16" t="str"/>
      <x:c r="I449" s="28" t="str"/>
      <x:c r="J449" s="28" t="str"/>
      <x:c r="K449" s="28" t="str"/>
      <x:c r="L449" s="16" t="str"/>
      <x:c r="M449" s="28" t="str">
        <x:f>IF(D449="","",D449+21)</x:f>
      </x:c>
      <x:c r="N449" s="16" t="str">
        <x:f>IF(M449="","",M449-TODAY())</x:f>
      </x:c>
      <x:c r="O449" s="16" t="str">
        <x:f>IF(A449="","",IF(OR(H449="Encerrado",H449="Descartado"),"Encerrado",IF(OR(H449="Sintomático",H449="Suspeito",H449="Confirmado",H449="Óbito"),"Requer avaliação/ação",IF(N449&lt;0,"Prazo concluído","Em monitoramento"))))</x:f>
      </x:c>
      <x:c r="P449" s="16" t="str">
        <x:f>IF(A449="","",IF(OR(E449="Manipulação do corpo",E449="Velório/funeral",E449="Sepultamento",E449="Limpeza/desinfecção"),"Pós-óbito",IF(OR(E449="Transporte do paciente",E449="Cuidado direto",E449="Contato com fluidos",E449="Serviço de saúde",E449="Laboratório"),"Exposição direta/assistencial","Exposição comunitária/outro")))</x:f>
      </x:c>
      <x:c r="Q449" s="16" t="str">
        <x:f>IF(A449="","",IF(P449="Pós-óbito","Sim","Não"))</x:f>
      </x:c>
    </x:row>
    <x:row r="450">
      <x:c r="A450" s="16" t="str"/>
      <x:c r="B450" s="16" t="str"/>
      <x:c r="C450" s="16" t="str"/>
      <x:c r="D450" s="28" t="str"/>
      <x:c r="E450" s="16" t="str"/>
      <x:c r="F450" s="16" t="str"/>
      <x:c r="G450" s="16" t="str"/>
      <x:c r="H450" s="16" t="str"/>
      <x:c r="I450" s="28" t="str"/>
      <x:c r="J450" s="28" t="str"/>
      <x:c r="K450" s="28" t="str"/>
      <x:c r="L450" s="16" t="str"/>
      <x:c r="M450" s="28" t="str">
        <x:f>IF(D450="","",D450+21)</x:f>
      </x:c>
      <x:c r="N450" s="16" t="str">
        <x:f>IF(M450="","",M450-TODAY())</x:f>
      </x:c>
      <x:c r="O450" s="16" t="str">
        <x:f>IF(A450="","",IF(OR(H450="Encerrado",H450="Descartado"),"Encerrado",IF(OR(H450="Sintomático",H450="Suspeito",H450="Confirmado",H450="Óbito"),"Requer avaliação/ação",IF(N450&lt;0,"Prazo concluído","Em monitoramento"))))</x:f>
      </x:c>
      <x:c r="P450" s="16" t="str">
        <x:f>IF(A450="","",IF(OR(E450="Manipulação do corpo",E450="Velório/funeral",E450="Sepultamento",E450="Limpeza/desinfecção"),"Pós-óbito",IF(OR(E450="Transporte do paciente",E450="Cuidado direto",E450="Contato com fluidos",E450="Serviço de saúde",E450="Laboratório"),"Exposição direta/assistencial","Exposição comunitária/outro")))</x:f>
      </x:c>
      <x:c r="Q450" s="16" t="str">
        <x:f>IF(A450="","",IF(P450="Pós-óbito","Sim","Não"))</x:f>
      </x:c>
    </x:row>
    <x:row r="451">
      <x:c r="A451" s="16" t="str"/>
      <x:c r="B451" s="16" t="str"/>
      <x:c r="C451" s="16" t="str"/>
      <x:c r="D451" s="28" t="str"/>
      <x:c r="E451" s="16" t="str"/>
      <x:c r="F451" s="16" t="str"/>
      <x:c r="G451" s="16" t="str"/>
      <x:c r="H451" s="16" t="str"/>
      <x:c r="I451" s="28" t="str"/>
      <x:c r="J451" s="28" t="str"/>
      <x:c r="K451" s="28" t="str"/>
      <x:c r="L451" s="16" t="str"/>
      <x:c r="M451" s="28" t="str">
        <x:f>IF(D451="","",D451+21)</x:f>
      </x:c>
      <x:c r="N451" s="16" t="str">
        <x:f>IF(M451="","",M451-TODAY())</x:f>
      </x:c>
      <x:c r="O451" s="16" t="str">
        <x:f>IF(A451="","",IF(OR(H451="Encerrado",H451="Descartado"),"Encerrado",IF(OR(H451="Sintomático",H451="Suspeito",H451="Confirmado",H451="Óbito"),"Requer avaliação/ação",IF(N451&lt;0,"Prazo concluído","Em monitoramento"))))</x:f>
      </x:c>
      <x:c r="P451" s="16" t="str">
        <x:f>IF(A451="","",IF(OR(E451="Manipulação do corpo",E451="Velório/funeral",E451="Sepultamento",E451="Limpeza/desinfecção"),"Pós-óbito",IF(OR(E451="Transporte do paciente",E451="Cuidado direto",E451="Contato com fluidos",E451="Serviço de saúde",E451="Laboratório"),"Exposição direta/assistencial","Exposição comunitária/outro")))</x:f>
      </x:c>
      <x:c r="Q451" s="16" t="str">
        <x:f>IF(A451="","",IF(P451="Pós-óbito","Sim","Não"))</x:f>
      </x:c>
    </x:row>
    <x:row r="452">
      <x:c r="A452" s="16" t="str"/>
      <x:c r="B452" s="16" t="str"/>
      <x:c r="C452" s="16" t="str"/>
      <x:c r="D452" s="28" t="str"/>
      <x:c r="E452" s="16" t="str"/>
      <x:c r="F452" s="16" t="str"/>
      <x:c r="G452" s="16" t="str"/>
      <x:c r="H452" s="16" t="str"/>
      <x:c r="I452" s="28" t="str"/>
      <x:c r="J452" s="28" t="str"/>
      <x:c r="K452" s="28" t="str"/>
      <x:c r="L452" s="16" t="str"/>
      <x:c r="M452" s="28" t="str">
        <x:f>IF(D452="","",D452+21)</x:f>
      </x:c>
      <x:c r="N452" s="16" t="str">
        <x:f>IF(M452="","",M452-TODAY())</x:f>
      </x:c>
      <x:c r="O452" s="16" t="str">
        <x:f>IF(A452="","",IF(OR(H452="Encerrado",H452="Descartado"),"Encerrado",IF(OR(H452="Sintomático",H452="Suspeito",H452="Confirmado",H452="Óbito"),"Requer avaliação/ação",IF(N452&lt;0,"Prazo concluído","Em monitoramento"))))</x:f>
      </x:c>
      <x:c r="P452" s="16" t="str">
        <x:f>IF(A452="","",IF(OR(E452="Manipulação do corpo",E452="Velório/funeral",E452="Sepultamento",E452="Limpeza/desinfecção"),"Pós-óbito",IF(OR(E452="Transporte do paciente",E452="Cuidado direto",E452="Contato com fluidos",E452="Serviço de saúde",E452="Laboratório"),"Exposição direta/assistencial","Exposição comunitária/outro")))</x:f>
      </x:c>
      <x:c r="Q452" s="16" t="str">
        <x:f>IF(A452="","",IF(P452="Pós-óbito","Sim","Não"))</x:f>
      </x:c>
    </x:row>
    <x:row r="453">
      <x:c r="A453" s="16" t="str"/>
      <x:c r="B453" s="16" t="str"/>
      <x:c r="C453" s="16" t="str"/>
      <x:c r="D453" s="28" t="str"/>
      <x:c r="E453" s="16" t="str"/>
      <x:c r="F453" s="16" t="str"/>
      <x:c r="G453" s="16" t="str"/>
      <x:c r="H453" s="16" t="str"/>
      <x:c r="I453" s="28" t="str"/>
      <x:c r="J453" s="28" t="str"/>
      <x:c r="K453" s="28" t="str"/>
      <x:c r="L453" s="16" t="str"/>
      <x:c r="M453" s="28" t="str">
        <x:f>IF(D453="","",D453+21)</x:f>
      </x:c>
      <x:c r="N453" s="16" t="str">
        <x:f>IF(M453="","",M453-TODAY())</x:f>
      </x:c>
      <x:c r="O453" s="16" t="str">
        <x:f>IF(A453="","",IF(OR(H453="Encerrado",H453="Descartado"),"Encerrado",IF(OR(H453="Sintomático",H453="Suspeito",H453="Confirmado",H453="Óbito"),"Requer avaliação/ação",IF(N453&lt;0,"Prazo concluído","Em monitoramento"))))</x:f>
      </x:c>
      <x:c r="P453" s="16" t="str">
        <x:f>IF(A453="","",IF(OR(E453="Manipulação do corpo",E453="Velório/funeral",E453="Sepultamento",E453="Limpeza/desinfecção"),"Pós-óbito",IF(OR(E453="Transporte do paciente",E453="Cuidado direto",E453="Contato com fluidos",E453="Serviço de saúde",E453="Laboratório"),"Exposição direta/assistencial","Exposição comunitária/outro")))</x:f>
      </x:c>
      <x:c r="Q453" s="16" t="str">
        <x:f>IF(A453="","",IF(P453="Pós-óbito","Sim","Não"))</x:f>
      </x:c>
    </x:row>
    <x:row r="454">
      <x:c r="A454" s="16" t="str"/>
      <x:c r="B454" s="16" t="str"/>
      <x:c r="C454" s="16" t="str"/>
      <x:c r="D454" s="28" t="str"/>
      <x:c r="E454" s="16" t="str"/>
      <x:c r="F454" s="16" t="str"/>
      <x:c r="G454" s="16" t="str"/>
      <x:c r="H454" s="16" t="str"/>
      <x:c r="I454" s="28" t="str"/>
      <x:c r="J454" s="28" t="str"/>
      <x:c r="K454" s="28" t="str"/>
      <x:c r="L454" s="16" t="str"/>
      <x:c r="M454" s="28" t="str">
        <x:f>IF(D454="","",D454+21)</x:f>
      </x:c>
      <x:c r="N454" s="16" t="str">
        <x:f>IF(M454="","",M454-TODAY())</x:f>
      </x:c>
      <x:c r="O454" s="16" t="str">
        <x:f>IF(A454="","",IF(OR(H454="Encerrado",H454="Descartado"),"Encerrado",IF(OR(H454="Sintomático",H454="Suspeito",H454="Confirmado",H454="Óbito"),"Requer avaliação/ação",IF(N454&lt;0,"Prazo concluído","Em monitoramento"))))</x:f>
      </x:c>
      <x:c r="P454" s="16" t="str">
        <x:f>IF(A454="","",IF(OR(E454="Manipulação do corpo",E454="Velório/funeral",E454="Sepultamento",E454="Limpeza/desinfecção"),"Pós-óbito",IF(OR(E454="Transporte do paciente",E454="Cuidado direto",E454="Contato com fluidos",E454="Serviço de saúde",E454="Laboratório"),"Exposição direta/assistencial","Exposição comunitária/outro")))</x:f>
      </x:c>
      <x:c r="Q454" s="16" t="str">
        <x:f>IF(A454="","",IF(P454="Pós-óbito","Sim","Não"))</x:f>
      </x:c>
    </x:row>
    <x:row r="455">
      <x:c r="A455" s="16" t="str"/>
      <x:c r="B455" s="16" t="str"/>
      <x:c r="C455" s="16" t="str"/>
      <x:c r="D455" s="28" t="str"/>
      <x:c r="E455" s="16" t="str"/>
      <x:c r="F455" s="16" t="str"/>
      <x:c r="G455" s="16" t="str"/>
      <x:c r="H455" s="16" t="str"/>
      <x:c r="I455" s="28" t="str"/>
      <x:c r="J455" s="28" t="str"/>
      <x:c r="K455" s="28" t="str"/>
      <x:c r="L455" s="16" t="str"/>
      <x:c r="M455" s="28" t="str">
        <x:f>IF(D455="","",D455+21)</x:f>
      </x:c>
      <x:c r="N455" s="16" t="str">
        <x:f>IF(M455="","",M455-TODAY())</x:f>
      </x:c>
      <x:c r="O455" s="16" t="str">
        <x:f>IF(A455="","",IF(OR(H455="Encerrado",H455="Descartado"),"Encerrado",IF(OR(H455="Sintomático",H455="Suspeito",H455="Confirmado",H455="Óbito"),"Requer avaliação/ação",IF(N455&lt;0,"Prazo concluído","Em monitoramento"))))</x:f>
      </x:c>
      <x:c r="P455" s="16" t="str">
        <x:f>IF(A455="","",IF(OR(E455="Manipulação do corpo",E455="Velório/funeral",E455="Sepultamento",E455="Limpeza/desinfecção"),"Pós-óbito",IF(OR(E455="Transporte do paciente",E455="Cuidado direto",E455="Contato com fluidos",E455="Serviço de saúde",E455="Laboratório"),"Exposição direta/assistencial","Exposição comunitária/outro")))</x:f>
      </x:c>
      <x:c r="Q455" s="16" t="str">
        <x:f>IF(A455="","",IF(P455="Pós-óbito","Sim","Não"))</x:f>
      </x:c>
    </x:row>
    <x:row r="456">
      <x:c r="A456" s="16" t="str"/>
      <x:c r="B456" s="16" t="str"/>
      <x:c r="C456" s="16" t="str"/>
      <x:c r="D456" s="28" t="str"/>
      <x:c r="E456" s="16" t="str"/>
      <x:c r="F456" s="16" t="str"/>
      <x:c r="G456" s="16" t="str"/>
      <x:c r="H456" s="16" t="str"/>
      <x:c r="I456" s="28" t="str"/>
      <x:c r="J456" s="28" t="str"/>
      <x:c r="K456" s="28" t="str"/>
      <x:c r="L456" s="16" t="str"/>
      <x:c r="M456" s="28" t="str">
        <x:f>IF(D456="","",D456+21)</x:f>
      </x:c>
      <x:c r="N456" s="16" t="str">
        <x:f>IF(M456="","",M456-TODAY())</x:f>
      </x:c>
      <x:c r="O456" s="16" t="str">
        <x:f>IF(A456="","",IF(OR(H456="Encerrado",H456="Descartado"),"Encerrado",IF(OR(H456="Sintomático",H456="Suspeito",H456="Confirmado",H456="Óbito"),"Requer avaliação/ação",IF(N456&lt;0,"Prazo concluído","Em monitoramento"))))</x:f>
      </x:c>
      <x:c r="P456" s="16" t="str">
        <x:f>IF(A456="","",IF(OR(E456="Manipulação do corpo",E456="Velório/funeral",E456="Sepultamento",E456="Limpeza/desinfecção"),"Pós-óbito",IF(OR(E456="Transporte do paciente",E456="Cuidado direto",E456="Contato com fluidos",E456="Serviço de saúde",E456="Laboratório"),"Exposição direta/assistencial","Exposição comunitária/outro")))</x:f>
      </x:c>
      <x:c r="Q456" s="16" t="str">
        <x:f>IF(A456="","",IF(P456="Pós-óbito","Sim","Não"))</x:f>
      </x:c>
    </x:row>
    <x:row r="457">
      <x:c r="A457" s="16" t="str"/>
      <x:c r="B457" s="16" t="str"/>
      <x:c r="C457" s="16" t="str"/>
      <x:c r="D457" s="28" t="str"/>
      <x:c r="E457" s="16" t="str"/>
      <x:c r="F457" s="16" t="str"/>
      <x:c r="G457" s="16" t="str"/>
      <x:c r="H457" s="16" t="str"/>
      <x:c r="I457" s="28" t="str"/>
      <x:c r="J457" s="28" t="str"/>
      <x:c r="K457" s="28" t="str"/>
      <x:c r="L457" s="16" t="str"/>
      <x:c r="M457" s="28" t="str">
        <x:f>IF(D457="","",D457+21)</x:f>
      </x:c>
      <x:c r="N457" s="16" t="str">
        <x:f>IF(M457="","",M457-TODAY())</x:f>
      </x:c>
      <x:c r="O457" s="16" t="str">
        <x:f>IF(A457="","",IF(OR(H457="Encerrado",H457="Descartado"),"Encerrado",IF(OR(H457="Sintomático",H457="Suspeito",H457="Confirmado",H457="Óbito"),"Requer avaliação/ação",IF(N457&lt;0,"Prazo concluído","Em monitoramento"))))</x:f>
      </x:c>
      <x:c r="P457" s="16" t="str">
        <x:f>IF(A457="","",IF(OR(E457="Manipulação do corpo",E457="Velório/funeral",E457="Sepultamento",E457="Limpeza/desinfecção"),"Pós-óbito",IF(OR(E457="Transporte do paciente",E457="Cuidado direto",E457="Contato com fluidos",E457="Serviço de saúde",E457="Laboratório"),"Exposição direta/assistencial","Exposição comunitária/outro")))</x:f>
      </x:c>
      <x:c r="Q457" s="16" t="str">
        <x:f>IF(A457="","",IF(P457="Pós-óbito","Sim","Não"))</x:f>
      </x:c>
    </x:row>
    <x:row r="458">
      <x:c r="A458" s="16" t="str"/>
      <x:c r="B458" s="16" t="str"/>
      <x:c r="C458" s="16" t="str"/>
      <x:c r="D458" s="28" t="str"/>
      <x:c r="E458" s="16" t="str"/>
      <x:c r="F458" s="16" t="str"/>
      <x:c r="G458" s="16" t="str"/>
      <x:c r="H458" s="16" t="str"/>
      <x:c r="I458" s="28" t="str"/>
      <x:c r="J458" s="28" t="str"/>
      <x:c r="K458" s="28" t="str"/>
      <x:c r="L458" s="16" t="str"/>
      <x:c r="M458" s="28" t="str">
        <x:f>IF(D458="","",D458+21)</x:f>
      </x:c>
      <x:c r="N458" s="16" t="str">
        <x:f>IF(M458="","",M458-TODAY())</x:f>
      </x:c>
      <x:c r="O458" s="16" t="str">
        <x:f>IF(A458="","",IF(OR(H458="Encerrado",H458="Descartado"),"Encerrado",IF(OR(H458="Sintomático",H458="Suspeito",H458="Confirmado",H458="Óbito"),"Requer avaliação/ação",IF(N458&lt;0,"Prazo concluído","Em monitoramento"))))</x:f>
      </x:c>
      <x:c r="P458" s="16" t="str">
        <x:f>IF(A458="","",IF(OR(E458="Manipulação do corpo",E458="Velório/funeral",E458="Sepultamento",E458="Limpeza/desinfecção"),"Pós-óbito",IF(OR(E458="Transporte do paciente",E458="Cuidado direto",E458="Contato com fluidos",E458="Serviço de saúde",E458="Laboratório"),"Exposição direta/assistencial","Exposição comunitária/outro")))</x:f>
      </x:c>
      <x:c r="Q458" s="16" t="str">
        <x:f>IF(A458="","",IF(P458="Pós-óbito","Sim","Não"))</x:f>
      </x:c>
    </x:row>
    <x:row r="459">
      <x:c r="A459" s="16" t="str"/>
      <x:c r="B459" s="16" t="str"/>
      <x:c r="C459" s="16" t="str"/>
      <x:c r="D459" s="28" t="str"/>
      <x:c r="E459" s="16" t="str"/>
      <x:c r="F459" s="16" t="str"/>
      <x:c r="G459" s="16" t="str"/>
      <x:c r="H459" s="16" t="str"/>
      <x:c r="I459" s="28" t="str"/>
      <x:c r="J459" s="28" t="str"/>
      <x:c r="K459" s="28" t="str"/>
      <x:c r="L459" s="16" t="str"/>
      <x:c r="M459" s="28" t="str">
        <x:f>IF(D459="","",D459+21)</x:f>
      </x:c>
      <x:c r="N459" s="16" t="str">
        <x:f>IF(M459="","",M459-TODAY())</x:f>
      </x:c>
      <x:c r="O459" s="16" t="str">
        <x:f>IF(A459="","",IF(OR(H459="Encerrado",H459="Descartado"),"Encerrado",IF(OR(H459="Sintomático",H459="Suspeito",H459="Confirmado",H459="Óbito"),"Requer avaliação/ação",IF(N459&lt;0,"Prazo concluído","Em monitoramento"))))</x:f>
      </x:c>
      <x:c r="P459" s="16" t="str">
        <x:f>IF(A459="","",IF(OR(E459="Manipulação do corpo",E459="Velório/funeral",E459="Sepultamento",E459="Limpeza/desinfecção"),"Pós-óbito",IF(OR(E459="Transporte do paciente",E459="Cuidado direto",E459="Contato com fluidos",E459="Serviço de saúde",E459="Laboratório"),"Exposição direta/assistencial","Exposição comunitária/outro")))</x:f>
      </x:c>
      <x:c r="Q459" s="16" t="str">
        <x:f>IF(A459="","",IF(P459="Pós-óbito","Sim","Não"))</x:f>
      </x:c>
    </x:row>
    <x:row r="460">
      <x:c r="A460" s="16" t="str"/>
      <x:c r="B460" s="16" t="str"/>
      <x:c r="C460" s="16" t="str"/>
      <x:c r="D460" s="28" t="str"/>
      <x:c r="E460" s="16" t="str"/>
      <x:c r="F460" s="16" t="str"/>
      <x:c r="G460" s="16" t="str"/>
      <x:c r="H460" s="16" t="str"/>
      <x:c r="I460" s="28" t="str"/>
      <x:c r="J460" s="28" t="str"/>
      <x:c r="K460" s="28" t="str"/>
      <x:c r="L460" s="16" t="str"/>
      <x:c r="M460" s="28" t="str">
        <x:f>IF(D460="","",D460+21)</x:f>
      </x:c>
      <x:c r="N460" s="16" t="str">
        <x:f>IF(M460="","",M460-TODAY())</x:f>
      </x:c>
      <x:c r="O460" s="16" t="str">
        <x:f>IF(A460="","",IF(OR(H460="Encerrado",H460="Descartado"),"Encerrado",IF(OR(H460="Sintomático",H460="Suspeito",H460="Confirmado",H460="Óbito"),"Requer avaliação/ação",IF(N460&lt;0,"Prazo concluído","Em monitoramento"))))</x:f>
      </x:c>
      <x:c r="P460" s="16" t="str">
        <x:f>IF(A460="","",IF(OR(E460="Manipulação do corpo",E460="Velório/funeral",E460="Sepultamento",E460="Limpeza/desinfecção"),"Pós-óbito",IF(OR(E460="Transporte do paciente",E460="Cuidado direto",E460="Contato com fluidos",E460="Serviço de saúde",E460="Laboratório"),"Exposição direta/assistencial","Exposição comunitária/outro")))</x:f>
      </x:c>
      <x:c r="Q460" s="16" t="str">
        <x:f>IF(A460="","",IF(P460="Pós-óbito","Sim","Não"))</x:f>
      </x:c>
    </x:row>
    <x:row r="461">
      <x:c r="A461" s="16" t="str"/>
      <x:c r="B461" s="16" t="str"/>
      <x:c r="C461" s="16" t="str"/>
      <x:c r="D461" s="28" t="str"/>
      <x:c r="E461" s="16" t="str"/>
      <x:c r="F461" s="16" t="str"/>
      <x:c r="G461" s="16" t="str"/>
      <x:c r="H461" s="16" t="str"/>
      <x:c r="I461" s="28" t="str"/>
      <x:c r="J461" s="28" t="str"/>
      <x:c r="K461" s="28" t="str"/>
      <x:c r="L461" s="16" t="str"/>
      <x:c r="M461" s="28" t="str">
        <x:f>IF(D461="","",D461+21)</x:f>
      </x:c>
      <x:c r="N461" s="16" t="str">
        <x:f>IF(M461="","",M461-TODAY())</x:f>
      </x:c>
      <x:c r="O461" s="16" t="str">
        <x:f>IF(A461="","",IF(OR(H461="Encerrado",H461="Descartado"),"Encerrado",IF(OR(H461="Sintomático",H461="Suspeito",H461="Confirmado",H461="Óbito"),"Requer avaliação/ação",IF(N461&lt;0,"Prazo concluído","Em monitoramento"))))</x:f>
      </x:c>
      <x:c r="P461" s="16" t="str">
        <x:f>IF(A461="","",IF(OR(E461="Manipulação do corpo",E461="Velório/funeral",E461="Sepultamento",E461="Limpeza/desinfecção"),"Pós-óbito",IF(OR(E461="Transporte do paciente",E461="Cuidado direto",E461="Contato com fluidos",E461="Serviço de saúde",E461="Laboratório"),"Exposição direta/assistencial","Exposição comunitária/outro")))</x:f>
      </x:c>
      <x:c r="Q461" s="16" t="str">
        <x:f>IF(A461="","",IF(P461="Pós-óbito","Sim","Não"))</x:f>
      </x:c>
    </x:row>
    <x:row r="462">
      <x:c r="A462" s="16" t="str"/>
      <x:c r="B462" s="16" t="str"/>
      <x:c r="C462" s="16" t="str"/>
      <x:c r="D462" s="28" t="str"/>
      <x:c r="E462" s="16" t="str"/>
      <x:c r="F462" s="16" t="str"/>
      <x:c r="G462" s="16" t="str"/>
      <x:c r="H462" s="16" t="str"/>
      <x:c r="I462" s="28" t="str"/>
      <x:c r="J462" s="28" t="str"/>
      <x:c r="K462" s="28" t="str"/>
      <x:c r="L462" s="16" t="str"/>
      <x:c r="M462" s="28" t="str">
        <x:f>IF(D462="","",D462+21)</x:f>
      </x:c>
      <x:c r="N462" s="16" t="str">
        <x:f>IF(M462="","",M462-TODAY())</x:f>
      </x:c>
      <x:c r="O462" s="16" t="str">
        <x:f>IF(A462="","",IF(OR(H462="Encerrado",H462="Descartado"),"Encerrado",IF(OR(H462="Sintomático",H462="Suspeito",H462="Confirmado",H462="Óbito"),"Requer avaliação/ação",IF(N462&lt;0,"Prazo concluído","Em monitoramento"))))</x:f>
      </x:c>
      <x:c r="P462" s="16" t="str">
        <x:f>IF(A462="","",IF(OR(E462="Manipulação do corpo",E462="Velório/funeral",E462="Sepultamento",E462="Limpeza/desinfecção"),"Pós-óbito",IF(OR(E462="Transporte do paciente",E462="Cuidado direto",E462="Contato com fluidos",E462="Serviço de saúde",E462="Laboratório"),"Exposição direta/assistencial","Exposição comunitária/outro")))</x:f>
      </x:c>
      <x:c r="Q462" s="16" t="str">
        <x:f>IF(A462="","",IF(P462="Pós-óbito","Sim","Não"))</x:f>
      </x:c>
    </x:row>
    <x:row r="463">
      <x:c r="A463" s="16" t="str"/>
      <x:c r="B463" s="16" t="str"/>
      <x:c r="C463" s="16" t="str"/>
      <x:c r="D463" s="28" t="str"/>
      <x:c r="E463" s="16" t="str"/>
      <x:c r="F463" s="16" t="str"/>
      <x:c r="G463" s="16" t="str"/>
      <x:c r="H463" s="16" t="str"/>
      <x:c r="I463" s="28" t="str"/>
      <x:c r="J463" s="28" t="str"/>
      <x:c r="K463" s="28" t="str"/>
      <x:c r="L463" s="16" t="str"/>
      <x:c r="M463" s="28" t="str">
        <x:f>IF(D463="","",D463+21)</x:f>
      </x:c>
      <x:c r="N463" s="16" t="str">
        <x:f>IF(M463="","",M463-TODAY())</x:f>
      </x:c>
      <x:c r="O463" s="16" t="str">
        <x:f>IF(A463="","",IF(OR(H463="Encerrado",H463="Descartado"),"Encerrado",IF(OR(H463="Sintomático",H463="Suspeito",H463="Confirmado",H463="Óbito"),"Requer avaliação/ação",IF(N463&lt;0,"Prazo concluído","Em monitoramento"))))</x:f>
      </x:c>
      <x:c r="P463" s="16" t="str">
        <x:f>IF(A463="","",IF(OR(E463="Manipulação do corpo",E463="Velório/funeral",E463="Sepultamento",E463="Limpeza/desinfecção"),"Pós-óbito",IF(OR(E463="Transporte do paciente",E463="Cuidado direto",E463="Contato com fluidos",E463="Serviço de saúde",E463="Laboratório"),"Exposição direta/assistencial","Exposição comunitária/outro")))</x:f>
      </x:c>
      <x:c r="Q463" s="16" t="str">
        <x:f>IF(A463="","",IF(P463="Pós-óbito","Sim","Não"))</x:f>
      </x:c>
    </x:row>
    <x:row r="464">
      <x:c r="A464" s="16" t="str"/>
      <x:c r="B464" s="16" t="str"/>
      <x:c r="C464" s="16" t="str"/>
      <x:c r="D464" s="28" t="str"/>
      <x:c r="E464" s="16" t="str"/>
      <x:c r="F464" s="16" t="str"/>
      <x:c r="G464" s="16" t="str"/>
      <x:c r="H464" s="16" t="str"/>
      <x:c r="I464" s="28" t="str"/>
      <x:c r="J464" s="28" t="str"/>
      <x:c r="K464" s="28" t="str"/>
      <x:c r="L464" s="16" t="str"/>
      <x:c r="M464" s="28" t="str">
        <x:f>IF(D464="","",D464+21)</x:f>
      </x:c>
      <x:c r="N464" s="16" t="str">
        <x:f>IF(M464="","",M464-TODAY())</x:f>
      </x:c>
      <x:c r="O464" s="16" t="str">
        <x:f>IF(A464="","",IF(OR(H464="Encerrado",H464="Descartado"),"Encerrado",IF(OR(H464="Sintomático",H464="Suspeito",H464="Confirmado",H464="Óbito"),"Requer avaliação/ação",IF(N464&lt;0,"Prazo concluído","Em monitoramento"))))</x:f>
      </x:c>
      <x:c r="P464" s="16" t="str">
        <x:f>IF(A464="","",IF(OR(E464="Manipulação do corpo",E464="Velório/funeral",E464="Sepultamento",E464="Limpeza/desinfecção"),"Pós-óbito",IF(OR(E464="Transporte do paciente",E464="Cuidado direto",E464="Contato com fluidos",E464="Serviço de saúde",E464="Laboratório"),"Exposição direta/assistencial","Exposição comunitária/outro")))</x:f>
      </x:c>
      <x:c r="Q464" s="16" t="str">
        <x:f>IF(A464="","",IF(P464="Pós-óbito","Sim","Não"))</x:f>
      </x:c>
    </x:row>
    <x:row r="465">
      <x:c r="A465" s="16" t="str"/>
      <x:c r="B465" s="16" t="str"/>
      <x:c r="C465" s="16" t="str"/>
      <x:c r="D465" s="28" t="str"/>
      <x:c r="E465" s="16" t="str"/>
      <x:c r="F465" s="16" t="str"/>
      <x:c r="G465" s="16" t="str"/>
      <x:c r="H465" s="16" t="str"/>
      <x:c r="I465" s="28" t="str"/>
      <x:c r="J465" s="28" t="str"/>
      <x:c r="K465" s="28" t="str"/>
      <x:c r="L465" s="16" t="str"/>
      <x:c r="M465" s="28" t="str">
        <x:f>IF(D465="","",D465+21)</x:f>
      </x:c>
      <x:c r="N465" s="16" t="str">
        <x:f>IF(M465="","",M465-TODAY())</x:f>
      </x:c>
      <x:c r="O465" s="16" t="str">
        <x:f>IF(A465="","",IF(OR(H465="Encerrado",H465="Descartado"),"Encerrado",IF(OR(H465="Sintomático",H465="Suspeito",H465="Confirmado",H465="Óbito"),"Requer avaliação/ação",IF(N465&lt;0,"Prazo concluído","Em monitoramento"))))</x:f>
      </x:c>
      <x:c r="P465" s="16" t="str">
        <x:f>IF(A465="","",IF(OR(E465="Manipulação do corpo",E465="Velório/funeral",E465="Sepultamento",E465="Limpeza/desinfecção"),"Pós-óbito",IF(OR(E465="Transporte do paciente",E465="Cuidado direto",E465="Contato com fluidos",E465="Serviço de saúde",E465="Laboratório"),"Exposição direta/assistencial","Exposição comunitária/outro")))</x:f>
      </x:c>
      <x:c r="Q465" s="16" t="str">
        <x:f>IF(A465="","",IF(P465="Pós-óbito","Sim","Não"))</x:f>
      </x:c>
    </x:row>
    <x:row r="466">
      <x:c r="A466" s="16" t="str"/>
      <x:c r="B466" s="16" t="str"/>
      <x:c r="C466" s="16" t="str"/>
      <x:c r="D466" s="28" t="str"/>
      <x:c r="E466" s="16" t="str"/>
      <x:c r="F466" s="16" t="str"/>
      <x:c r="G466" s="16" t="str"/>
      <x:c r="H466" s="16" t="str"/>
      <x:c r="I466" s="28" t="str"/>
      <x:c r="J466" s="28" t="str"/>
      <x:c r="K466" s="28" t="str"/>
      <x:c r="L466" s="16" t="str"/>
      <x:c r="M466" s="28" t="str">
        <x:f>IF(D466="","",D466+21)</x:f>
      </x:c>
      <x:c r="N466" s="16" t="str">
        <x:f>IF(M466="","",M466-TODAY())</x:f>
      </x:c>
      <x:c r="O466" s="16" t="str">
        <x:f>IF(A466="","",IF(OR(H466="Encerrado",H466="Descartado"),"Encerrado",IF(OR(H466="Sintomático",H466="Suspeito",H466="Confirmado",H466="Óbito"),"Requer avaliação/ação",IF(N466&lt;0,"Prazo concluído","Em monitoramento"))))</x:f>
      </x:c>
      <x:c r="P466" s="16" t="str">
        <x:f>IF(A466="","",IF(OR(E466="Manipulação do corpo",E466="Velório/funeral",E466="Sepultamento",E466="Limpeza/desinfecção"),"Pós-óbito",IF(OR(E466="Transporte do paciente",E466="Cuidado direto",E466="Contato com fluidos",E466="Serviço de saúde",E466="Laboratório"),"Exposição direta/assistencial","Exposição comunitária/outro")))</x:f>
      </x:c>
      <x:c r="Q466" s="16" t="str">
        <x:f>IF(A466="","",IF(P466="Pós-óbito","Sim","Não"))</x:f>
      </x:c>
    </x:row>
    <x:row r="467">
      <x:c r="A467" s="16" t="str"/>
      <x:c r="B467" s="16" t="str"/>
      <x:c r="C467" s="16" t="str"/>
      <x:c r="D467" s="28" t="str"/>
      <x:c r="E467" s="16" t="str"/>
      <x:c r="F467" s="16" t="str"/>
      <x:c r="G467" s="16" t="str"/>
      <x:c r="H467" s="16" t="str"/>
      <x:c r="I467" s="28" t="str"/>
      <x:c r="J467" s="28" t="str"/>
      <x:c r="K467" s="28" t="str"/>
      <x:c r="L467" s="16" t="str"/>
      <x:c r="M467" s="28" t="str">
        <x:f>IF(D467="","",D467+21)</x:f>
      </x:c>
      <x:c r="N467" s="16" t="str">
        <x:f>IF(M467="","",M467-TODAY())</x:f>
      </x:c>
      <x:c r="O467" s="16" t="str">
        <x:f>IF(A467="","",IF(OR(H467="Encerrado",H467="Descartado"),"Encerrado",IF(OR(H467="Sintomático",H467="Suspeito",H467="Confirmado",H467="Óbito"),"Requer avaliação/ação",IF(N467&lt;0,"Prazo concluído","Em monitoramento"))))</x:f>
      </x:c>
      <x:c r="P467" s="16" t="str">
        <x:f>IF(A467="","",IF(OR(E467="Manipulação do corpo",E467="Velório/funeral",E467="Sepultamento",E467="Limpeza/desinfecção"),"Pós-óbito",IF(OR(E467="Transporte do paciente",E467="Cuidado direto",E467="Contato com fluidos",E467="Serviço de saúde",E467="Laboratório"),"Exposição direta/assistencial","Exposição comunitária/outro")))</x:f>
      </x:c>
      <x:c r="Q467" s="16" t="str">
        <x:f>IF(A467="","",IF(P467="Pós-óbito","Sim","Não"))</x:f>
      </x:c>
    </x:row>
    <x:row r="468">
      <x:c r="A468" s="16" t="str"/>
      <x:c r="B468" s="16" t="str"/>
      <x:c r="C468" s="16" t="str"/>
      <x:c r="D468" s="28" t="str"/>
      <x:c r="E468" s="16" t="str"/>
      <x:c r="F468" s="16" t="str"/>
      <x:c r="G468" s="16" t="str"/>
      <x:c r="H468" s="16" t="str"/>
      <x:c r="I468" s="28" t="str"/>
      <x:c r="J468" s="28" t="str"/>
      <x:c r="K468" s="28" t="str"/>
      <x:c r="L468" s="16" t="str"/>
      <x:c r="M468" s="28" t="str">
        <x:f>IF(D468="","",D468+21)</x:f>
      </x:c>
      <x:c r="N468" s="16" t="str">
        <x:f>IF(M468="","",M468-TODAY())</x:f>
      </x:c>
      <x:c r="O468" s="16" t="str">
        <x:f>IF(A468="","",IF(OR(H468="Encerrado",H468="Descartado"),"Encerrado",IF(OR(H468="Sintomático",H468="Suspeito",H468="Confirmado",H468="Óbito"),"Requer avaliação/ação",IF(N468&lt;0,"Prazo concluído","Em monitoramento"))))</x:f>
      </x:c>
      <x:c r="P468" s="16" t="str">
        <x:f>IF(A468="","",IF(OR(E468="Manipulação do corpo",E468="Velório/funeral",E468="Sepultamento",E468="Limpeza/desinfecção"),"Pós-óbito",IF(OR(E468="Transporte do paciente",E468="Cuidado direto",E468="Contato com fluidos",E468="Serviço de saúde",E468="Laboratório"),"Exposição direta/assistencial","Exposição comunitária/outro")))</x:f>
      </x:c>
      <x:c r="Q468" s="16" t="str">
        <x:f>IF(A468="","",IF(P468="Pós-óbito","Sim","Não"))</x:f>
      </x:c>
    </x:row>
    <x:row r="469">
      <x:c r="A469" s="16" t="str"/>
      <x:c r="B469" s="16" t="str"/>
      <x:c r="C469" s="16" t="str"/>
      <x:c r="D469" s="28" t="str"/>
      <x:c r="E469" s="16" t="str"/>
      <x:c r="F469" s="16" t="str"/>
      <x:c r="G469" s="16" t="str"/>
      <x:c r="H469" s="16" t="str"/>
      <x:c r="I469" s="28" t="str"/>
      <x:c r="J469" s="28" t="str"/>
      <x:c r="K469" s="28" t="str"/>
      <x:c r="L469" s="16" t="str"/>
      <x:c r="M469" s="28" t="str">
        <x:f>IF(D469="","",D469+21)</x:f>
      </x:c>
      <x:c r="N469" s="16" t="str">
        <x:f>IF(M469="","",M469-TODAY())</x:f>
      </x:c>
      <x:c r="O469" s="16" t="str">
        <x:f>IF(A469="","",IF(OR(H469="Encerrado",H469="Descartado"),"Encerrado",IF(OR(H469="Sintomático",H469="Suspeito",H469="Confirmado",H469="Óbito"),"Requer avaliação/ação",IF(N469&lt;0,"Prazo concluído","Em monitoramento"))))</x:f>
      </x:c>
      <x:c r="P469" s="16" t="str">
        <x:f>IF(A469="","",IF(OR(E469="Manipulação do corpo",E469="Velório/funeral",E469="Sepultamento",E469="Limpeza/desinfecção"),"Pós-óbito",IF(OR(E469="Transporte do paciente",E469="Cuidado direto",E469="Contato com fluidos",E469="Serviço de saúde",E469="Laboratório"),"Exposição direta/assistencial","Exposição comunitária/outro")))</x:f>
      </x:c>
      <x:c r="Q469" s="16" t="str">
        <x:f>IF(A469="","",IF(P469="Pós-óbito","Sim","Não"))</x:f>
      </x:c>
    </x:row>
    <x:row r="470">
      <x:c r="A470" s="16" t="str"/>
      <x:c r="B470" s="16" t="str"/>
      <x:c r="C470" s="16" t="str"/>
      <x:c r="D470" s="28" t="str"/>
      <x:c r="E470" s="16" t="str"/>
      <x:c r="F470" s="16" t="str"/>
      <x:c r="G470" s="16" t="str"/>
      <x:c r="H470" s="16" t="str"/>
      <x:c r="I470" s="28" t="str"/>
      <x:c r="J470" s="28" t="str"/>
      <x:c r="K470" s="28" t="str"/>
      <x:c r="L470" s="16" t="str"/>
      <x:c r="M470" s="28" t="str">
        <x:f>IF(D470="","",D470+21)</x:f>
      </x:c>
      <x:c r="N470" s="16" t="str">
        <x:f>IF(M470="","",M470-TODAY())</x:f>
      </x:c>
      <x:c r="O470" s="16" t="str">
        <x:f>IF(A470="","",IF(OR(H470="Encerrado",H470="Descartado"),"Encerrado",IF(OR(H470="Sintomático",H470="Suspeito",H470="Confirmado",H470="Óbito"),"Requer avaliação/ação",IF(N470&lt;0,"Prazo concluído","Em monitoramento"))))</x:f>
      </x:c>
      <x:c r="P470" s="16" t="str">
        <x:f>IF(A470="","",IF(OR(E470="Manipulação do corpo",E470="Velório/funeral",E470="Sepultamento",E470="Limpeza/desinfecção"),"Pós-óbito",IF(OR(E470="Transporte do paciente",E470="Cuidado direto",E470="Contato com fluidos",E470="Serviço de saúde",E470="Laboratório"),"Exposição direta/assistencial","Exposição comunitária/outro")))</x:f>
      </x:c>
      <x:c r="Q470" s="16" t="str">
        <x:f>IF(A470="","",IF(P470="Pós-óbito","Sim","Não"))</x:f>
      </x:c>
    </x:row>
    <x:row r="471">
      <x:c r="A471" s="16" t="str"/>
      <x:c r="B471" s="16" t="str"/>
      <x:c r="C471" s="16" t="str"/>
      <x:c r="D471" s="28" t="str"/>
      <x:c r="E471" s="16" t="str"/>
      <x:c r="F471" s="16" t="str"/>
      <x:c r="G471" s="16" t="str"/>
      <x:c r="H471" s="16" t="str"/>
      <x:c r="I471" s="28" t="str"/>
      <x:c r="J471" s="28" t="str"/>
      <x:c r="K471" s="28" t="str"/>
      <x:c r="L471" s="16" t="str"/>
      <x:c r="M471" s="28" t="str">
        <x:f>IF(D471="","",D471+21)</x:f>
      </x:c>
      <x:c r="N471" s="16" t="str">
        <x:f>IF(M471="","",M471-TODAY())</x:f>
      </x:c>
      <x:c r="O471" s="16" t="str">
        <x:f>IF(A471="","",IF(OR(H471="Encerrado",H471="Descartado"),"Encerrado",IF(OR(H471="Sintomático",H471="Suspeito",H471="Confirmado",H471="Óbito"),"Requer avaliação/ação",IF(N471&lt;0,"Prazo concluído","Em monitoramento"))))</x:f>
      </x:c>
      <x:c r="P471" s="16" t="str">
        <x:f>IF(A471="","",IF(OR(E471="Manipulação do corpo",E471="Velório/funeral",E471="Sepultamento",E471="Limpeza/desinfecção"),"Pós-óbito",IF(OR(E471="Transporte do paciente",E471="Cuidado direto",E471="Contato com fluidos",E471="Serviço de saúde",E471="Laboratório"),"Exposição direta/assistencial","Exposição comunitária/outro")))</x:f>
      </x:c>
      <x:c r="Q471" s="16" t="str">
        <x:f>IF(A471="","",IF(P471="Pós-óbito","Sim","Não"))</x:f>
      </x:c>
    </x:row>
    <x:row r="472">
      <x:c r="A472" s="16" t="str"/>
      <x:c r="B472" s="16" t="str"/>
      <x:c r="C472" s="16" t="str"/>
      <x:c r="D472" s="28" t="str"/>
      <x:c r="E472" s="16" t="str"/>
      <x:c r="F472" s="16" t="str"/>
      <x:c r="G472" s="16" t="str"/>
      <x:c r="H472" s="16" t="str"/>
      <x:c r="I472" s="28" t="str"/>
      <x:c r="J472" s="28" t="str"/>
      <x:c r="K472" s="28" t="str"/>
      <x:c r="L472" s="16" t="str"/>
      <x:c r="M472" s="28" t="str">
        <x:f>IF(D472="","",D472+21)</x:f>
      </x:c>
      <x:c r="N472" s="16" t="str">
        <x:f>IF(M472="","",M472-TODAY())</x:f>
      </x:c>
      <x:c r="O472" s="16" t="str">
        <x:f>IF(A472="","",IF(OR(H472="Encerrado",H472="Descartado"),"Encerrado",IF(OR(H472="Sintomático",H472="Suspeito",H472="Confirmado",H472="Óbito"),"Requer avaliação/ação",IF(N472&lt;0,"Prazo concluído","Em monitoramento"))))</x:f>
      </x:c>
      <x:c r="P472" s="16" t="str">
        <x:f>IF(A472="","",IF(OR(E472="Manipulação do corpo",E472="Velório/funeral",E472="Sepultamento",E472="Limpeza/desinfecção"),"Pós-óbito",IF(OR(E472="Transporte do paciente",E472="Cuidado direto",E472="Contato com fluidos",E472="Serviço de saúde",E472="Laboratório"),"Exposição direta/assistencial","Exposição comunitária/outro")))</x:f>
      </x:c>
      <x:c r="Q472" s="16" t="str">
        <x:f>IF(A472="","",IF(P472="Pós-óbito","Sim","Não"))</x:f>
      </x:c>
    </x:row>
    <x:row r="473">
      <x:c r="A473" s="16" t="str"/>
      <x:c r="B473" s="16" t="str"/>
      <x:c r="C473" s="16" t="str"/>
      <x:c r="D473" s="28" t="str"/>
      <x:c r="E473" s="16" t="str"/>
      <x:c r="F473" s="16" t="str"/>
      <x:c r="G473" s="16" t="str"/>
      <x:c r="H473" s="16" t="str"/>
      <x:c r="I473" s="28" t="str"/>
      <x:c r="J473" s="28" t="str"/>
      <x:c r="K473" s="28" t="str"/>
      <x:c r="L473" s="16" t="str"/>
      <x:c r="M473" s="28" t="str">
        <x:f>IF(D473="","",D473+21)</x:f>
      </x:c>
      <x:c r="N473" s="16" t="str">
        <x:f>IF(M473="","",M473-TODAY())</x:f>
      </x:c>
      <x:c r="O473" s="16" t="str">
        <x:f>IF(A473="","",IF(OR(H473="Encerrado",H473="Descartado"),"Encerrado",IF(OR(H473="Sintomático",H473="Suspeito",H473="Confirmado",H473="Óbito"),"Requer avaliação/ação",IF(N473&lt;0,"Prazo concluído","Em monitoramento"))))</x:f>
      </x:c>
      <x:c r="P473" s="16" t="str">
        <x:f>IF(A473="","",IF(OR(E473="Manipulação do corpo",E473="Velório/funeral",E473="Sepultamento",E473="Limpeza/desinfecção"),"Pós-óbito",IF(OR(E473="Transporte do paciente",E473="Cuidado direto",E473="Contato com fluidos",E473="Serviço de saúde",E473="Laboratório"),"Exposição direta/assistencial","Exposição comunitária/outro")))</x:f>
      </x:c>
      <x:c r="Q473" s="16" t="str">
        <x:f>IF(A473="","",IF(P473="Pós-óbito","Sim","Não"))</x:f>
      </x:c>
    </x:row>
    <x:row r="474">
      <x:c r="A474" s="16" t="str"/>
      <x:c r="B474" s="16" t="str"/>
      <x:c r="C474" s="16" t="str"/>
      <x:c r="D474" s="28" t="str"/>
      <x:c r="E474" s="16" t="str"/>
      <x:c r="F474" s="16" t="str"/>
      <x:c r="G474" s="16" t="str"/>
      <x:c r="H474" s="16" t="str"/>
      <x:c r="I474" s="28" t="str"/>
      <x:c r="J474" s="28" t="str"/>
      <x:c r="K474" s="28" t="str"/>
      <x:c r="L474" s="16" t="str"/>
      <x:c r="M474" s="28" t="str">
        <x:f>IF(D474="","",D474+21)</x:f>
      </x:c>
      <x:c r="N474" s="16" t="str">
        <x:f>IF(M474="","",M474-TODAY())</x:f>
      </x:c>
      <x:c r="O474" s="16" t="str">
        <x:f>IF(A474="","",IF(OR(H474="Encerrado",H474="Descartado"),"Encerrado",IF(OR(H474="Sintomático",H474="Suspeito",H474="Confirmado",H474="Óbito"),"Requer avaliação/ação",IF(N474&lt;0,"Prazo concluído","Em monitoramento"))))</x:f>
      </x:c>
      <x:c r="P474" s="16" t="str">
        <x:f>IF(A474="","",IF(OR(E474="Manipulação do corpo",E474="Velório/funeral",E474="Sepultamento",E474="Limpeza/desinfecção"),"Pós-óbito",IF(OR(E474="Transporte do paciente",E474="Cuidado direto",E474="Contato com fluidos",E474="Serviço de saúde",E474="Laboratório"),"Exposição direta/assistencial","Exposição comunitária/outro")))</x:f>
      </x:c>
      <x:c r="Q474" s="16" t="str">
        <x:f>IF(A474="","",IF(P474="Pós-óbito","Sim","Não"))</x:f>
      </x:c>
    </x:row>
    <x:row r="475">
      <x:c r="A475" s="16" t="str"/>
      <x:c r="B475" s="16" t="str"/>
      <x:c r="C475" s="16" t="str"/>
      <x:c r="D475" s="28" t="str"/>
      <x:c r="E475" s="16" t="str"/>
      <x:c r="F475" s="16" t="str"/>
      <x:c r="G475" s="16" t="str"/>
      <x:c r="H475" s="16" t="str"/>
      <x:c r="I475" s="28" t="str"/>
      <x:c r="J475" s="28" t="str"/>
      <x:c r="K475" s="28" t="str"/>
      <x:c r="L475" s="16" t="str"/>
      <x:c r="M475" s="28" t="str">
        <x:f>IF(D475="","",D475+21)</x:f>
      </x:c>
      <x:c r="N475" s="16" t="str">
        <x:f>IF(M475="","",M475-TODAY())</x:f>
      </x:c>
      <x:c r="O475" s="16" t="str">
        <x:f>IF(A475="","",IF(OR(H475="Encerrado",H475="Descartado"),"Encerrado",IF(OR(H475="Sintomático",H475="Suspeito",H475="Confirmado",H475="Óbito"),"Requer avaliação/ação",IF(N475&lt;0,"Prazo concluído","Em monitoramento"))))</x:f>
      </x:c>
      <x:c r="P475" s="16" t="str">
        <x:f>IF(A475="","",IF(OR(E475="Manipulação do corpo",E475="Velório/funeral",E475="Sepultamento",E475="Limpeza/desinfecção"),"Pós-óbito",IF(OR(E475="Transporte do paciente",E475="Cuidado direto",E475="Contato com fluidos",E475="Serviço de saúde",E475="Laboratório"),"Exposição direta/assistencial","Exposição comunitária/outro")))</x:f>
      </x:c>
      <x:c r="Q475" s="16" t="str">
        <x:f>IF(A475="","",IF(P475="Pós-óbito","Sim","Não"))</x:f>
      </x:c>
    </x:row>
    <x:row r="476">
      <x:c r="A476" s="16" t="str"/>
      <x:c r="B476" s="16" t="str"/>
      <x:c r="C476" s="16" t="str"/>
      <x:c r="D476" s="28" t="str"/>
      <x:c r="E476" s="16" t="str"/>
      <x:c r="F476" s="16" t="str"/>
      <x:c r="G476" s="16" t="str"/>
      <x:c r="H476" s="16" t="str"/>
      <x:c r="I476" s="28" t="str"/>
      <x:c r="J476" s="28" t="str"/>
      <x:c r="K476" s="28" t="str"/>
      <x:c r="L476" s="16" t="str"/>
      <x:c r="M476" s="28" t="str">
        <x:f>IF(D476="","",D476+21)</x:f>
      </x:c>
      <x:c r="N476" s="16" t="str">
        <x:f>IF(M476="","",M476-TODAY())</x:f>
      </x:c>
      <x:c r="O476" s="16" t="str">
        <x:f>IF(A476="","",IF(OR(H476="Encerrado",H476="Descartado"),"Encerrado",IF(OR(H476="Sintomático",H476="Suspeito",H476="Confirmado",H476="Óbito"),"Requer avaliação/ação",IF(N476&lt;0,"Prazo concluído","Em monitoramento"))))</x:f>
      </x:c>
      <x:c r="P476" s="16" t="str">
        <x:f>IF(A476="","",IF(OR(E476="Manipulação do corpo",E476="Velório/funeral",E476="Sepultamento",E476="Limpeza/desinfecção"),"Pós-óbito",IF(OR(E476="Transporte do paciente",E476="Cuidado direto",E476="Contato com fluidos",E476="Serviço de saúde",E476="Laboratório"),"Exposição direta/assistencial","Exposição comunitária/outro")))</x:f>
      </x:c>
      <x:c r="Q476" s="16" t="str">
        <x:f>IF(A476="","",IF(P476="Pós-óbito","Sim","Não"))</x:f>
      </x:c>
    </x:row>
    <x:row r="477">
      <x:c r="A477" s="16" t="str"/>
      <x:c r="B477" s="16" t="str"/>
      <x:c r="C477" s="16" t="str"/>
      <x:c r="D477" s="28" t="str"/>
      <x:c r="E477" s="16" t="str"/>
      <x:c r="F477" s="16" t="str"/>
      <x:c r="G477" s="16" t="str"/>
      <x:c r="H477" s="16" t="str"/>
      <x:c r="I477" s="28" t="str"/>
      <x:c r="J477" s="28" t="str"/>
      <x:c r="K477" s="28" t="str"/>
      <x:c r="L477" s="16" t="str"/>
      <x:c r="M477" s="28" t="str">
        <x:f>IF(D477="","",D477+21)</x:f>
      </x:c>
      <x:c r="N477" s="16" t="str">
        <x:f>IF(M477="","",M477-TODAY())</x:f>
      </x:c>
      <x:c r="O477" s="16" t="str">
        <x:f>IF(A477="","",IF(OR(H477="Encerrado",H477="Descartado"),"Encerrado",IF(OR(H477="Sintomático",H477="Suspeito",H477="Confirmado",H477="Óbito"),"Requer avaliação/ação",IF(N477&lt;0,"Prazo concluído","Em monitoramento"))))</x:f>
      </x:c>
      <x:c r="P477" s="16" t="str">
        <x:f>IF(A477="","",IF(OR(E477="Manipulação do corpo",E477="Velório/funeral",E477="Sepultamento",E477="Limpeza/desinfecção"),"Pós-óbito",IF(OR(E477="Transporte do paciente",E477="Cuidado direto",E477="Contato com fluidos",E477="Serviço de saúde",E477="Laboratório"),"Exposição direta/assistencial","Exposição comunitária/outro")))</x:f>
      </x:c>
      <x:c r="Q477" s="16" t="str">
        <x:f>IF(A477="","",IF(P477="Pós-óbito","Sim","Não"))</x:f>
      </x:c>
    </x:row>
    <x:row r="478">
      <x:c r="A478" s="16" t="str"/>
      <x:c r="B478" s="16" t="str"/>
      <x:c r="C478" s="16" t="str"/>
      <x:c r="D478" s="28" t="str"/>
      <x:c r="E478" s="16" t="str"/>
      <x:c r="F478" s="16" t="str"/>
      <x:c r="G478" s="16" t="str"/>
      <x:c r="H478" s="16" t="str"/>
      <x:c r="I478" s="28" t="str"/>
      <x:c r="J478" s="28" t="str"/>
      <x:c r="K478" s="28" t="str"/>
      <x:c r="L478" s="16" t="str"/>
      <x:c r="M478" s="28" t="str">
        <x:f>IF(D478="","",D478+21)</x:f>
      </x:c>
      <x:c r="N478" s="16" t="str">
        <x:f>IF(M478="","",M478-TODAY())</x:f>
      </x:c>
      <x:c r="O478" s="16" t="str">
        <x:f>IF(A478="","",IF(OR(H478="Encerrado",H478="Descartado"),"Encerrado",IF(OR(H478="Sintomático",H478="Suspeito",H478="Confirmado",H478="Óbito"),"Requer avaliação/ação",IF(N478&lt;0,"Prazo concluído","Em monitoramento"))))</x:f>
      </x:c>
      <x:c r="P478" s="16" t="str">
        <x:f>IF(A478="","",IF(OR(E478="Manipulação do corpo",E478="Velório/funeral",E478="Sepultamento",E478="Limpeza/desinfecção"),"Pós-óbito",IF(OR(E478="Transporte do paciente",E478="Cuidado direto",E478="Contato com fluidos",E478="Serviço de saúde",E478="Laboratório"),"Exposição direta/assistencial","Exposição comunitária/outro")))</x:f>
      </x:c>
      <x:c r="Q478" s="16" t="str">
        <x:f>IF(A478="","",IF(P478="Pós-óbito","Sim","Não"))</x:f>
      </x:c>
    </x:row>
    <x:row r="479">
      <x:c r="A479" s="16" t="str"/>
      <x:c r="B479" s="16" t="str"/>
      <x:c r="C479" s="16" t="str"/>
      <x:c r="D479" s="28" t="str"/>
      <x:c r="E479" s="16" t="str"/>
      <x:c r="F479" s="16" t="str"/>
      <x:c r="G479" s="16" t="str"/>
      <x:c r="H479" s="16" t="str"/>
      <x:c r="I479" s="28" t="str"/>
      <x:c r="J479" s="28" t="str"/>
      <x:c r="K479" s="28" t="str"/>
      <x:c r="L479" s="16" t="str"/>
      <x:c r="M479" s="28" t="str">
        <x:f>IF(D479="","",D479+21)</x:f>
      </x:c>
      <x:c r="N479" s="16" t="str">
        <x:f>IF(M479="","",M479-TODAY())</x:f>
      </x:c>
      <x:c r="O479" s="16" t="str">
        <x:f>IF(A479="","",IF(OR(H479="Encerrado",H479="Descartado"),"Encerrado",IF(OR(H479="Sintomático",H479="Suspeito",H479="Confirmado",H479="Óbito"),"Requer avaliação/ação",IF(N479&lt;0,"Prazo concluído","Em monitoramento"))))</x:f>
      </x:c>
      <x:c r="P479" s="16" t="str">
        <x:f>IF(A479="","",IF(OR(E479="Manipulação do corpo",E479="Velório/funeral",E479="Sepultamento",E479="Limpeza/desinfecção"),"Pós-óbito",IF(OR(E479="Transporte do paciente",E479="Cuidado direto",E479="Contato com fluidos",E479="Serviço de saúde",E479="Laboratório"),"Exposição direta/assistencial","Exposição comunitária/outro")))</x:f>
      </x:c>
      <x:c r="Q479" s="16" t="str">
        <x:f>IF(A479="","",IF(P479="Pós-óbito","Sim","Não"))</x:f>
      </x:c>
    </x:row>
    <x:row r="480">
      <x:c r="A480" s="16" t="str"/>
      <x:c r="B480" s="16" t="str"/>
      <x:c r="C480" s="16" t="str"/>
      <x:c r="D480" s="28" t="str"/>
      <x:c r="E480" s="16" t="str"/>
      <x:c r="F480" s="16" t="str"/>
      <x:c r="G480" s="16" t="str"/>
      <x:c r="H480" s="16" t="str"/>
      <x:c r="I480" s="28" t="str"/>
      <x:c r="J480" s="28" t="str"/>
      <x:c r="K480" s="28" t="str"/>
      <x:c r="L480" s="16" t="str"/>
      <x:c r="M480" s="28" t="str">
        <x:f>IF(D480="","",D480+21)</x:f>
      </x:c>
      <x:c r="N480" s="16" t="str">
        <x:f>IF(M480="","",M480-TODAY())</x:f>
      </x:c>
      <x:c r="O480" s="16" t="str">
        <x:f>IF(A480="","",IF(OR(H480="Encerrado",H480="Descartado"),"Encerrado",IF(OR(H480="Sintomático",H480="Suspeito",H480="Confirmado",H480="Óbito"),"Requer avaliação/ação",IF(N480&lt;0,"Prazo concluído","Em monitoramento"))))</x:f>
      </x:c>
      <x:c r="P480" s="16" t="str">
        <x:f>IF(A480="","",IF(OR(E480="Manipulação do corpo",E480="Velório/funeral",E480="Sepultamento",E480="Limpeza/desinfecção"),"Pós-óbito",IF(OR(E480="Transporte do paciente",E480="Cuidado direto",E480="Contato com fluidos",E480="Serviço de saúde",E480="Laboratório"),"Exposição direta/assistencial","Exposição comunitária/outro")))</x:f>
      </x:c>
      <x:c r="Q480" s="16" t="str">
        <x:f>IF(A480="","",IF(P480="Pós-óbito","Sim","Não"))</x:f>
      </x:c>
    </x:row>
    <x:row r="481">
      <x:c r="A481" s="16" t="str"/>
      <x:c r="B481" s="16" t="str"/>
      <x:c r="C481" s="16" t="str"/>
      <x:c r="D481" s="28" t="str"/>
      <x:c r="E481" s="16" t="str"/>
      <x:c r="F481" s="16" t="str"/>
      <x:c r="G481" s="16" t="str"/>
      <x:c r="H481" s="16" t="str"/>
      <x:c r="I481" s="28" t="str"/>
      <x:c r="J481" s="28" t="str"/>
      <x:c r="K481" s="28" t="str"/>
      <x:c r="L481" s="16" t="str"/>
      <x:c r="M481" s="28" t="str">
        <x:f>IF(D481="","",D481+21)</x:f>
      </x:c>
      <x:c r="N481" s="16" t="str">
        <x:f>IF(M481="","",M481-TODAY())</x:f>
      </x:c>
      <x:c r="O481" s="16" t="str">
        <x:f>IF(A481="","",IF(OR(H481="Encerrado",H481="Descartado"),"Encerrado",IF(OR(H481="Sintomático",H481="Suspeito",H481="Confirmado",H481="Óbito"),"Requer avaliação/ação",IF(N481&lt;0,"Prazo concluído","Em monitoramento"))))</x:f>
      </x:c>
      <x:c r="P481" s="16" t="str">
        <x:f>IF(A481="","",IF(OR(E481="Manipulação do corpo",E481="Velório/funeral",E481="Sepultamento",E481="Limpeza/desinfecção"),"Pós-óbito",IF(OR(E481="Transporte do paciente",E481="Cuidado direto",E481="Contato com fluidos",E481="Serviço de saúde",E481="Laboratório"),"Exposição direta/assistencial","Exposição comunitária/outro")))</x:f>
      </x:c>
      <x:c r="Q481" s="16" t="str">
        <x:f>IF(A481="","",IF(P481="Pós-óbito","Sim","Não"))</x:f>
      </x:c>
    </x:row>
    <x:row r="482">
      <x:c r="A482" s="16" t="str"/>
      <x:c r="B482" s="16" t="str"/>
      <x:c r="C482" s="16" t="str"/>
      <x:c r="D482" s="28" t="str"/>
      <x:c r="E482" s="16" t="str"/>
      <x:c r="F482" s="16" t="str"/>
      <x:c r="G482" s="16" t="str"/>
      <x:c r="H482" s="16" t="str"/>
      <x:c r="I482" s="28" t="str"/>
      <x:c r="J482" s="28" t="str"/>
      <x:c r="K482" s="28" t="str"/>
      <x:c r="L482" s="16" t="str"/>
      <x:c r="M482" s="28" t="str">
        <x:f>IF(D482="","",D482+21)</x:f>
      </x:c>
      <x:c r="N482" s="16" t="str">
        <x:f>IF(M482="","",M482-TODAY())</x:f>
      </x:c>
      <x:c r="O482" s="16" t="str">
        <x:f>IF(A482="","",IF(OR(H482="Encerrado",H482="Descartado"),"Encerrado",IF(OR(H482="Sintomático",H482="Suspeito",H482="Confirmado",H482="Óbito"),"Requer avaliação/ação",IF(N482&lt;0,"Prazo concluído","Em monitoramento"))))</x:f>
      </x:c>
      <x:c r="P482" s="16" t="str">
        <x:f>IF(A482="","",IF(OR(E482="Manipulação do corpo",E482="Velório/funeral",E482="Sepultamento",E482="Limpeza/desinfecção"),"Pós-óbito",IF(OR(E482="Transporte do paciente",E482="Cuidado direto",E482="Contato com fluidos",E482="Serviço de saúde",E482="Laboratório"),"Exposição direta/assistencial","Exposição comunitária/outro")))</x:f>
      </x:c>
      <x:c r="Q482" s="16" t="str">
        <x:f>IF(A482="","",IF(P482="Pós-óbito","Sim","Não"))</x:f>
      </x:c>
    </x:row>
    <x:row r="483">
      <x:c r="A483" s="16" t="str"/>
      <x:c r="B483" s="16" t="str"/>
      <x:c r="C483" s="16" t="str"/>
      <x:c r="D483" s="28" t="str"/>
      <x:c r="E483" s="16" t="str"/>
      <x:c r="F483" s="16" t="str"/>
      <x:c r="G483" s="16" t="str"/>
      <x:c r="H483" s="16" t="str"/>
      <x:c r="I483" s="28" t="str"/>
      <x:c r="J483" s="28" t="str"/>
      <x:c r="K483" s="28" t="str"/>
      <x:c r="L483" s="16" t="str"/>
      <x:c r="M483" s="28" t="str">
        <x:f>IF(D483="","",D483+21)</x:f>
      </x:c>
      <x:c r="N483" s="16" t="str">
        <x:f>IF(M483="","",M483-TODAY())</x:f>
      </x:c>
      <x:c r="O483" s="16" t="str">
        <x:f>IF(A483="","",IF(OR(H483="Encerrado",H483="Descartado"),"Encerrado",IF(OR(H483="Sintomático",H483="Suspeito",H483="Confirmado",H483="Óbito"),"Requer avaliação/ação",IF(N483&lt;0,"Prazo concluído","Em monitoramento"))))</x:f>
      </x:c>
      <x:c r="P483" s="16" t="str">
        <x:f>IF(A483="","",IF(OR(E483="Manipulação do corpo",E483="Velório/funeral",E483="Sepultamento",E483="Limpeza/desinfecção"),"Pós-óbito",IF(OR(E483="Transporte do paciente",E483="Cuidado direto",E483="Contato com fluidos",E483="Serviço de saúde",E483="Laboratório"),"Exposição direta/assistencial","Exposição comunitária/outro")))</x:f>
      </x:c>
      <x:c r="Q483" s="16" t="str">
        <x:f>IF(A483="","",IF(P483="Pós-óbito","Sim","Não"))</x:f>
      </x:c>
    </x:row>
    <x:row r="484">
      <x:c r="A484" s="16" t="str"/>
      <x:c r="B484" s="16" t="str"/>
      <x:c r="C484" s="16" t="str"/>
      <x:c r="D484" s="28" t="str"/>
      <x:c r="E484" s="16" t="str"/>
      <x:c r="F484" s="16" t="str"/>
      <x:c r="G484" s="16" t="str"/>
      <x:c r="H484" s="16" t="str"/>
      <x:c r="I484" s="28" t="str"/>
      <x:c r="J484" s="28" t="str"/>
      <x:c r="K484" s="28" t="str"/>
      <x:c r="L484" s="16" t="str"/>
      <x:c r="M484" s="28" t="str">
        <x:f>IF(D484="","",D484+21)</x:f>
      </x:c>
      <x:c r="N484" s="16" t="str">
        <x:f>IF(M484="","",M484-TODAY())</x:f>
      </x:c>
      <x:c r="O484" s="16" t="str">
        <x:f>IF(A484="","",IF(OR(H484="Encerrado",H484="Descartado"),"Encerrado",IF(OR(H484="Sintomático",H484="Suspeito",H484="Confirmado",H484="Óbito"),"Requer avaliação/ação",IF(N484&lt;0,"Prazo concluído","Em monitoramento"))))</x:f>
      </x:c>
      <x:c r="P484" s="16" t="str">
        <x:f>IF(A484="","",IF(OR(E484="Manipulação do corpo",E484="Velório/funeral",E484="Sepultamento",E484="Limpeza/desinfecção"),"Pós-óbito",IF(OR(E484="Transporte do paciente",E484="Cuidado direto",E484="Contato com fluidos",E484="Serviço de saúde",E484="Laboratório"),"Exposição direta/assistencial","Exposição comunitária/outro")))</x:f>
      </x:c>
      <x:c r="Q484" s="16" t="str">
        <x:f>IF(A484="","",IF(P484="Pós-óbito","Sim","Não"))</x:f>
      </x:c>
    </x:row>
    <x:row r="485">
      <x:c r="A485" s="16" t="str"/>
      <x:c r="B485" s="16" t="str"/>
      <x:c r="C485" s="16" t="str"/>
      <x:c r="D485" s="28" t="str"/>
      <x:c r="E485" s="16" t="str"/>
      <x:c r="F485" s="16" t="str"/>
      <x:c r="G485" s="16" t="str"/>
      <x:c r="H485" s="16" t="str"/>
      <x:c r="I485" s="28" t="str"/>
      <x:c r="J485" s="28" t="str"/>
      <x:c r="K485" s="28" t="str"/>
      <x:c r="L485" s="16" t="str"/>
      <x:c r="M485" s="28" t="str">
        <x:f>IF(D485="","",D485+21)</x:f>
      </x:c>
      <x:c r="N485" s="16" t="str">
        <x:f>IF(M485="","",M485-TODAY())</x:f>
      </x:c>
      <x:c r="O485" s="16" t="str">
        <x:f>IF(A485="","",IF(OR(H485="Encerrado",H485="Descartado"),"Encerrado",IF(OR(H485="Sintomático",H485="Suspeito",H485="Confirmado",H485="Óbito"),"Requer avaliação/ação",IF(N485&lt;0,"Prazo concluído","Em monitoramento"))))</x:f>
      </x:c>
      <x:c r="P485" s="16" t="str">
        <x:f>IF(A485="","",IF(OR(E485="Manipulação do corpo",E485="Velório/funeral",E485="Sepultamento",E485="Limpeza/desinfecção"),"Pós-óbito",IF(OR(E485="Transporte do paciente",E485="Cuidado direto",E485="Contato com fluidos",E485="Serviço de saúde",E485="Laboratório"),"Exposição direta/assistencial","Exposição comunitária/outro")))</x:f>
      </x:c>
      <x:c r="Q485" s="16" t="str">
        <x:f>IF(A485="","",IF(P485="Pós-óbito","Sim","Não"))</x:f>
      </x:c>
    </x:row>
    <x:row r="486">
      <x:c r="A486" s="16" t="str"/>
      <x:c r="B486" s="16" t="str"/>
      <x:c r="C486" s="16" t="str"/>
      <x:c r="D486" s="28" t="str"/>
      <x:c r="E486" s="16" t="str"/>
      <x:c r="F486" s="16" t="str"/>
      <x:c r="G486" s="16" t="str"/>
      <x:c r="H486" s="16" t="str"/>
      <x:c r="I486" s="28" t="str"/>
      <x:c r="J486" s="28" t="str"/>
      <x:c r="K486" s="28" t="str"/>
      <x:c r="L486" s="16" t="str"/>
      <x:c r="M486" s="28" t="str">
        <x:f>IF(D486="","",D486+21)</x:f>
      </x:c>
      <x:c r="N486" s="16" t="str">
        <x:f>IF(M486="","",M486-TODAY())</x:f>
      </x:c>
      <x:c r="O486" s="16" t="str">
        <x:f>IF(A486="","",IF(OR(H486="Encerrado",H486="Descartado"),"Encerrado",IF(OR(H486="Sintomático",H486="Suspeito",H486="Confirmado",H486="Óbito"),"Requer avaliação/ação",IF(N486&lt;0,"Prazo concluído","Em monitoramento"))))</x:f>
      </x:c>
      <x:c r="P486" s="16" t="str">
        <x:f>IF(A486="","",IF(OR(E486="Manipulação do corpo",E486="Velório/funeral",E486="Sepultamento",E486="Limpeza/desinfecção"),"Pós-óbito",IF(OR(E486="Transporte do paciente",E486="Cuidado direto",E486="Contato com fluidos",E486="Serviço de saúde",E486="Laboratório"),"Exposição direta/assistencial","Exposição comunitária/outro")))</x:f>
      </x:c>
      <x:c r="Q486" s="16" t="str">
        <x:f>IF(A486="","",IF(P486="Pós-óbito","Sim","Não"))</x:f>
      </x:c>
    </x:row>
    <x:row r="487">
      <x:c r="A487" s="16" t="str"/>
      <x:c r="B487" s="16" t="str"/>
      <x:c r="C487" s="16" t="str"/>
      <x:c r="D487" s="28" t="str"/>
      <x:c r="E487" s="16" t="str"/>
      <x:c r="F487" s="16" t="str"/>
      <x:c r="G487" s="16" t="str"/>
      <x:c r="H487" s="16" t="str"/>
      <x:c r="I487" s="28" t="str"/>
      <x:c r="J487" s="28" t="str"/>
      <x:c r="K487" s="28" t="str"/>
      <x:c r="L487" s="16" t="str"/>
      <x:c r="M487" s="28" t="str">
        <x:f>IF(D487="","",D487+21)</x:f>
      </x:c>
      <x:c r="N487" s="16" t="str">
        <x:f>IF(M487="","",M487-TODAY())</x:f>
      </x:c>
      <x:c r="O487" s="16" t="str">
        <x:f>IF(A487="","",IF(OR(H487="Encerrado",H487="Descartado"),"Encerrado",IF(OR(H487="Sintomático",H487="Suspeito",H487="Confirmado",H487="Óbito"),"Requer avaliação/ação",IF(N487&lt;0,"Prazo concluído","Em monitoramento"))))</x:f>
      </x:c>
      <x:c r="P487" s="16" t="str">
        <x:f>IF(A487="","",IF(OR(E487="Manipulação do corpo",E487="Velório/funeral",E487="Sepultamento",E487="Limpeza/desinfecção"),"Pós-óbito",IF(OR(E487="Transporte do paciente",E487="Cuidado direto",E487="Contato com fluidos",E487="Serviço de saúde",E487="Laboratório"),"Exposição direta/assistencial","Exposição comunitária/outro")))</x:f>
      </x:c>
      <x:c r="Q487" s="16" t="str">
        <x:f>IF(A487="","",IF(P487="Pós-óbito","Sim","Não"))</x:f>
      </x:c>
    </x:row>
    <x:row r="488">
      <x:c r="A488" s="16" t="str"/>
      <x:c r="B488" s="16" t="str"/>
      <x:c r="C488" s="16" t="str"/>
      <x:c r="D488" s="28" t="str"/>
      <x:c r="E488" s="16" t="str"/>
      <x:c r="F488" s="16" t="str"/>
      <x:c r="G488" s="16" t="str"/>
      <x:c r="H488" s="16" t="str"/>
      <x:c r="I488" s="28" t="str"/>
      <x:c r="J488" s="28" t="str"/>
      <x:c r="K488" s="28" t="str"/>
      <x:c r="L488" s="16" t="str"/>
      <x:c r="M488" s="28" t="str">
        <x:f>IF(D488="","",D488+21)</x:f>
      </x:c>
      <x:c r="N488" s="16" t="str">
        <x:f>IF(M488="","",M488-TODAY())</x:f>
      </x:c>
      <x:c r="O488" s="16" t="str">
        <x:f>IF(A488="","",IF(OR(H488="Encerrado",H488="Descartado"),"Encerrado",IF(OR(H488="Sintomático",H488="Suspeito",H488="Confirmado",H488="Óbito"),"Requer avaliação/ação",IF(N488&lt;0,"Prazo concluído","Em monitoramento"))))</x:f>
      </x:c>
      <x:c r="P488" s="16" t="str">
        <x:f>IF(A488="","",IF(OR(E488="Manipulação do corpo",E488="Velório/funeral",E488="Sepultamento",E488="Limpeza/desinfecção"),"Pós-óbito",IF(OR(E488="Transporte do paciente",E488="Cuidado direto",E488="Contato com fluidos",E488="Serviço de saúde",E488="Laboratório"),"Exposição direta/assistencial","Exposição comunitária/outro")))</x:f>
      </x:c>
      <x:c r="Q488" s="16" t="str">
        <x:f>IF(A488="","",IF(P488="Pós-óbito","Sim","Não"))</x:f>
      </x:c>
    </x:row>
    <x:row r="489">
      <x:c r="A489" s="16" t="str"/>
      <x:c r="B489" s="16" t="str"/>
      <x:c r="C489" s="16" t="str"/>
      <x:c r="D489" s="28" t="str"/>
      <x:c r="E489" s="16" t="str"/>
      <x:c r="F489" s="16" t="str"/>
      <x:c r="G489" s="16" t="str"/>
      <x:c r="H489" s="16" t="str"/>
      <x:c r="I489" s="28" t="str"/>
      <x:c r="J489" s="28" t="str"/>
      <x:c r="K489" s="28" t="str"/>
      <x:c r="L489" s="16" t="str"/>
      <x:c r="M489" s="28" t="str">
        <x:f>IF(D489="","",D489+21)</x:f>
      </x:c>
      <x:c r="N489" s="16" t="str">
        <x:f>IF(M489="","",M489-TODAY())</x:f>
      </x:c>
      <x:c r="O489" s="16" t="str">
        <x:f>IF(A489="","",IF(OR(H489="Encerrado",H489="Descartado"),"Encerrado",IF(OR(H489="Sintomático",H489="Suspeito",H489="Confirmado",H489="Óbito"),"Requer avaliação/ação",IF(N489&lt;0,"Prazo concluído","Em monitoramento"))))</x:f>
      </x:c>
      <x:c r="P489" s="16" t="str">
        <x:f>IF(A489="","",IF(OR(E489="Manipulação do corpo",E489="Velório/funeral",E489="Sepultamento",E489="Limpeza/desinfecção"),"Pós-óbito",IF(OR(E489="Transporte do paciente",E489="Cuidado direto",E489="Contato com fluidos",E489="Serviço de saúde",E489="Laboratório"),"Exposição direta/assistencial","Exposição comunitária/outro")))</x:f>
      </x:c>
      <x:c r="Q489" s="16" t="str">
        <x:f>IF(A489="","",IF(P489="Pós-óbito","Sim","Não"))</x:f>
      </x:c>
    </x:row>
    <x:row r="490">
      <x:c r="A490" s="16" t="str"/>
      <x:c r="B490" s="16" t="str"/>
      <x:c r="C490" s="16" t="str"/>
      <x:c r="D490" s="28" t="str"/>
      <x:c r="E490" s="16" t="str"/>
      <x:c r="F490" s="16" t="str"/>
      <x:c r="G490" s="16" t="str"/>
      <x:c r="H490" s="16" t="str"/>
      <x:c r="I490" s="28" t="str"/>
      <x:c r="J490" s="28" t="str"/>
      <x:c r="K490" s="28" t="str"/>
      <x:c r="L490" s="16" t="str"/>
      <x:c r="M490" s="28" t="str">
        <x:f>IF(D490="","",D490+21)</x:f>
      </x:c>
      <x:c r="N490" s="16" t="str">
        <x:f>IF(M490="","",M490-TODAY())</x:f>
      </x:c>
      <x:c r="O490" s="16" t="str">
        <x:f>IF(A490="","",IF(OR(H490="Encerrado",H490="Descartado"),"Encerrado",IF(OR(H490="Sintomático",H490="Suspeito",H490="Confirmado",H490="Óbito"),"Requer avaliação/ação",IF(N490&lt;0,"Prazo concluído","Em monitoramento"))))</x:f>
      </x:c>
      <x:c r="P490" s="16" t="str">
        <x:f>IF(A490="","",IF(OR(E490="Manipulação do corpo",E490="Velório/funeral",E490="Sepultamento",E490="Limpeza/desinfecção"),"Pós-óbito",IF(OR(E490="Transporte do paciente",E490="Cuidado direto",E490="Contato com fluidos",E490="Serviço de saúde",E490="Laboratório"),"Exposição direta/assistencial","Exposição comunitária/outro")))</x:f>
      </x:c>
      <x:c r="Q490" s="16" t="str">
        <x:f>IF(A490="","",IF(P490="Pós-óbito","Sim","Não"))</x:f>
      </x:c>
    </x:row>
    <x:row r="491">
      <x:c r="A491" s="16" t="str"/>
      <x:c r="B491" s="16" t="str"/>
      <x:c r="C491" s="16" t="str"/>
      <x:c r="D491" s="28" t="str"/>
      <x:c r="E491" s="16" t="str"/>
      <x:c r="F491" s="16" t="str"/>
      <x:c r="G491" s="16" t="str"/>
      <x:c r="H491" s="16" t="str"/>
      <x:c r="I491" s="28" t="str"/>
      <x:c r="J491" s="28" t="str"/>
      <x:c r="K491" s="28" t="str"/>
      <x:c r="L491" s="16" t="str"/>
      <x:c r="M491" s="28" t="str">
        <x:f>IF(D491="","",D491+21)</x:f>
      </x:c>
      <x:c r="N491" s="16" t="str">
        <x:f>IF(M491="","",M491-TODAY())</x:f>
      </x:c>
      <x:c r="O491" s="16" t="str">
        <x:f>IF(A491="","",IF(OR(H491="Encerrado",H491="Descartado"),"Encerrado",IF(OR(H491="Sintomático",H491="Suspeito",H491="Confirmado",H491="Óbito"),"Requer avaliação/ação",IF(N491&lt;0,"Prazo concluído","Em monitoramento"))))</x:f>
      </x:c>
      <x:c r="P491" s="16" t="str">
        <x:f>IF(A491="","",IF(OR(E491="Manipulação do corpo",E491="Velório/funeral",E491="Sepultamento",E491="Limpeza/desinfecção"),"Pós-óbito",IF(OR(E491="Transporte do paciente",E491="Cuidado direto",E491="Contato com fluidos",E491="Serviço de saúde",E491="Laboratório"),"Exposição direta/assistencial","Exposição comunitária/outro")))</x:f>
      </x:c>
      <x:c r="Q491" s="16" t="str">
        <x:f>IF(A491="","",IF(P491="Pós-óbito","Sim","Não"))</x:f>
      </x:c>
    </x:row>
    <x:row r="492">
      <x:c r="A492" s="16" t="str"/>
      <x:c r="B492" s="16" t="str"/>
      <x:c r="C492" s="16" t="str"/>
      <x:c r="D492" s="28" t="str"/>
      <x:c r="E492" s="16" t="str"/>
      <x:c r="F492" s="16" t="str"/>
      <x:c r="G492" s="16" t="str"/>
      <x:c r="H492" s="16" t="str"/>
      <x:c r="I492" s="28" t="str"/>
      <x:c r="J492" s="28" t="str"/>
      <x:c r="K492" s="28" t="str"/>
      <x:c r="L492" s="16" t="str"/>
      <x:c r="M492" s="28" t="str">
        <x:f>IF(D492="","",D492+21)</x:f>
      </x:c>
      <x:c r="N492" s="16" t="str">
        <x:f>IF(M492="","",M492-TODAY())</x:f>
      </x:c>
      <x:c r="O492" s="16" t="str">
        <x:f>IF(A492="","",IF(OR(H492="Encerrado",H492="Descartado"),"Encerrado",IF(OR(H492="Sintomático",H492="Suspeito",H492="Confirmado",H492="Óbito"),"Requer avaliação/ação",IF(N492&lt;0,"Prazo concluído","Em monitoramento"))))</x:f>
      </x:c>
      <x:c r="P492" s="16" t="str">
        <x:f>IF(A492="","",IF(OR(E492="Manipulação do corpo",E492="Velório/funeral",E492="Sepultamento",E492="Limpeza/desinfecção"),"Pós-óbito",IF(OR(E492="Transporte do paciente",E492="Cuidado direto",E492="Contato com fluidos",E492="Serviço de saúde",E492="Laboratório"),"Exposição direta/assistencial","Exposição comunitária/outro")))</x:f>
      </x:c>
      <x:c r="Q492" s="16" t="str">
        <x:f>IF(A492="","",IF(P492="Pós-óbito","Sim","Não"))</x:f>
      </x:c>
    </x:row>
    <x:row r="493">
      <x:c r="A493" s="16" t="str"/>
      <x:c r="B493" s="16" t="str"/>
      <x:c r="C493" s="16" t="str"/>
      <x:c r="D493" s="28" t="str"/>
      <x:c r="E493" s="16" t="str"/>
      <x:c r="F493" s="16" t="str"/>
      <x:c r="G493" s="16" t="str"/>
      <x:c r="H493" s="16" t="str"/>
      <x:c r="I493" s="28" t="str"/>
      <x:c r="J493" s="28" t="str"/>
      <x:c r="K493" s="28" t="str"/>
      <x:c r="L493" s="16" t="str"/>
      <x:c r="M493" s="28" t="str">
        <x:f>IF(D493="","",D493+21)</x:f>
      </x:c>
      <x:c r="N493" s="16" t="str">
        <x:f>IF(M493="","",M493-TODAY())</x:f>
      </x:c>
      <x:c r="O493" s="16" t="str">
        <x:f>IF(A493="","",IF(OR(H493="Encerrado",H493="Descartado"),"Encerrado",IF(OR(H493="Sintomático",H493="Suspeito",H493="Confirmado",H493="Óbito"),"Requer avaliação/ação",IF(N493&lt;0,"Prazo concluído","Em monitoramento"))))</x:f>
      </x:c>
      <x:c r="P493" s="16" t="str">
        <x:f>IF(A493="","",IF(OR(E493="Manipulação do corpo",E493="Velório/funeral",E493="Sepultamento",E493="Limpeza/desinfecção"),"Pós-óbito",IF(OR(E493="Transporte do paciente",E493="Cuidado direto",E493="Contato com fluidos",E493="Serviço de saúde",E493="Laboratório"),"Exposição direta/assistencial","Exposição comunitária/outro")))</x:f>
      </x:c>
      <x:c r="Q493" s="16" t="str">
        <x:f>IF(A493="","",IF(P493="Pós-óbito","Sim","Não"))</x:f>
      </x:c>
    </x:row>
    <x:row r="494">
      <x:c r="A494" s="16" t="str"/>
      <x:c r="B494" s="16" t="str"/>
      <x:c r="C494" s="16" t="str"/>
      <x:c r="D494" s="28" t="str"/>
      <x:c r="E494" s="16" t="str"/>
      <x:c r="F494" s="16" t="str"/>
      <x:c r="G494" s="16" t="str"/>
      <x:c r="H494" s="16" t="str"/>
      <x:c r="I494" s="28" t="str"/>
      <x:c r="J494" s="28" t="str"/>
      <x:c r="K494" s="28" t="str"/>
      <x:c r="L494" s="16" t="str"/>
      <x:c r="M494" s="28" t="str">
        <x:f>IF(D494="","",D494+21)</x:f>
      </x:c>
      <x:c r="N494" s="16" t="str">
        <x:f>IF(M494="","",M494-TODAY())</x:f>
      </x:c>
      <x:c r="O494" s="16" t="str">
        <x:f>IF(A494="","",IF(OR(H494="Encerrado",H494="Descartado"),"Encerrado",IF(OR(H494="Sintomático",H494="Suspeito",H494="Confirmado",H494="Óbito"),"Requer avaliação/ação",IF(N494&lt;0,"Prazo concluído","Em monitoramento"))))</x:f>
      </x:c>
      <x:c r="P494" s="16" t="str">
        <x:f>IF(A494="","",IF(OR(E494="Manipulação do corpo",E494="Velório/funeral",E494="Sepultamento",E494="Limpeza/desinfecção"),"Pós-óbito",IF(OR(E494="Transporte do paciente",E494="Cuidado direto",E494="Contato com fluidos",E494="Serviço de saúde",E494="Laboratório"),"Exposição direta/assistencial","Exposição comunitária/outro")))</x:f>
      </x:c>
      <x:c r="Q494" s="16" t="str">
        <x:f>IF(A494="","",IF(P494="Pós-óbito","Sim","Não"))</x:f>
      </x:c>
    </x:row>
    <x:row r="495">
      <x:c r="A495" s="16" t="str"/>
      <x:c r="B495" s="16" t="str"/>
      <x:c r="C495" s="16" t="str"/>
      <x:c r="D495" s="28" t="str"/>
      <x:c r="E495" s="16" t="str"/>
      <x:c r="F495" s="16" t="str"/>
      <x:c r="G495" s="16" t="str"/>
      <x:c r="H495" s="16" t="str"/>
      <x:c r="I495" s="28" t="str"/>
      <x:c r="J495" s="28" t="str"/>
      <x:c r="K495" s="28" t="str"/>
      <x:c r="L495" s="16" t="str"/>
      <x:c r="M495" s="28" t="str">
        <x:f>IF(D495="","",D495+21)</x:f>
      </x:c>
      <x:c r="N495" s="16" t="str">
        <x:f>IF(M495="","",M495-TODAY())</x:f>
      </x:c>
      <x:c r="O495" s="16" t="str">
        <x:f>IF(A495="","",IF(OR(H495="Encerrado",H495="Descartado"),"Encerrado",IF(OR(H495="Sintomático",H495="Suspeito",H495="Confirmado",H495="Óbito"),"Requer avaliação/ação",IF(N495&lt;0,"Prazo concluído","Em monitoramento"))))</x:f>
      </x:c>
      <x:c r="P495" s="16" t="str">
        <x:f>IF(A495="","",IF(OR(E495="Manipulação do corpo",E495="Velório/funeral",E495="Sepultamento",E495="Limpeza/desinfecção"),"Pós-óbito",IF(OR(E495="Transporte do paciente",E495="Cuidado direto",E495="Contato com fluidos",E495="Serviço de saúde",E495="Laboratório"),"Exposição direta/assistencial","Exposição comunitária/outro")))</x:f>
      </x:c>
      <x:c r="Q495" s="16" t="str">
        <x:f>IF(A495="","",IF(P495="Pós-óbito","Sim","Não"))</x:f>
      </x:c>
    </x:row>
    <x:row r="496">
      <x:c r="A496" s="16" t="str"/>
      <x:c r="B496" s="16" t="str"/>
      <x:c r="C496" s="16" t="str"/>
      <x:c r="D496" s="28" t="str"/>
      <x:c r="E496" s="16" t="str"/>
      <x:c r="F496" s="16" t="str"/>
      <x:c r="G496" s="16" t="str"/>
      <x:c r="H496" s="16" t="str"/>
      <x:c r="I496" s="28" t="str"/>
      <x:c r="J496" s="28" t="str"/>
      <x:c r="K496" s="28" t="str"/>
      <x:c r="L496" s="16" t="str"/>
      <x:c r="M496" s="28" t="str">
        <x:f>IF(D496="","",D496+21)</x:f>
      </x:c>
      <x:c r="N496" s="16" t="str">
        <x:f>IF(M496="","",M496-TODAY())</x:f>
      </x:c>
      <x:c r="O496" s="16" t="str">
        <x:f>IF(A496="","",IF(OR(H496="Encerrado",H496="Descartado"),"Encerrado",IF(OR(H496="Sintomático",H496="Suspeito",H496="Confirmado",H496="Óbito"),"Requer avaliação/ação",IF(N496&lt;0,"Prazo concluído","Em monitoramento"))))</x:f>
      </x:c>
      <x:c r="P496" s="16" t="str">
        <x:f>IF(A496="","",IF(OR(E496="Manipulação do corpo",E496="Velório/funeral",E496="Sepultamento",E496="Limpeza/desinfecção"),"Pós-óbito",IF(OR(E496="Transporte do paciente",E496="Cuidado direto",E496="Contato com fluidos",E496="Serviço de saúde",E496="Laboratório"),"Exposição direta/assistencial","Exposição comunitária/outro")))</x:f>
      </x:c>
      <x:c r="Q496" s="16" t="str">
        <x:f>IF(A496="","",IF(P496="Pós-óbito","Sim","Não"))</x:f>
      </x:c>
    </x:row>
    <x:row r="497">
      <x:c r="A497" s="16" t="str"/>
      <x:c r="B497" s="16" t="str"/>
      <x:c r="C497" s="16" t="str"/>
      <x:c r="D497" s="28" t="str"/>
      <x:c r="E497" s="16" t="str"/>
      <x:c r="F497" s="16" t="str"/>
      <x:c r="G497" s="16" t="str"/>
      <x:c r="H497" s="16" t="str"/>
      <x:c r="I497" s="28" t="str"/>
      <x:c r="J497" s="28" t="str"/>
      <x:c r="K497" s="28" t="str"/>
      <x:c r="L497" s="16" t="str"/>
      <x:c r="M497" s="28" t="str">
        <x:f>IF(D497="","",D497+21)</x:f>
      </x:c>
      <x:c r="N497" s="16" t="str">
        <x:f>IF(M497="","",M497-TODAY())</x:f>
      </x:c>
      <x:c r="O497" s="16" t="str">
        <x:f>IF(A497="","",IF(OR(H497="Encerrado",H497="Descartado"),"Encerrado",IF(OR(H497="Sintomático",H497="Suspeito",H497="Confirmado",H497="Óbito"),"Requer avaliação/ação",IF(N497&lt;0,"Prazo concluído","Em monitoramento"))))</x:f>
      </x:c>
      <x:c r="P497" s="16" t="str">
        <x:f>IF(A497="","",IF(OR(E497="Manipulação do corpo",E497="Velório/funeral",E497="Sepultamento",E497="Limpeza/desinfecção"),"Pós-óbito",IF(OR(E497="Transporte do paciente",E497="Cuidado direto",E497="Contato com fluidos",E497="Serviço de saúde",E497="Laboratório"),"Exposição direta/assistencial","Exposição comunitária/outro")))</x:f>
      </x:c>
      <x:c r="Q497" s="16" t="str">
        <x:f>IF(A497="","",IF(P497="Pós-óbito","Sim","Não"))</x:f>
      </x:c>
    </x:row>
    <x:row r="498">
      <x:c r="A498" s="16" t="str"/>
      <x:c r="B498" s="16" t="str"/>
      <x:c r="C498" s="16" t="str"/>
      <x:c r="D498" s="28" t="str"/>
      <x:c r="E498" s="16" t="str"/>
      <x:c r="F498" s="16" t="str"/>
      <x:c r="G498" s="16" t="str"/>
      <x:c r="H498" s="16" t="str"/>
      <x:c r="I498" s="28" t="str"/>
      <x:c r="J498" s="28" t="str"/>
      <x:c r="K498" s="28" t="str"/>
      <x:c r="L498" s="16" t="str"/>
      <x:c r="M498" s="28" t="str">
        <x:f>IF(D498="","",D498+21)</x:f>
      </x:c>
      <x:c r="N498" s="16" t="str">
        <x:f>IF(M498="","",M498-TODAY())</x:f>
      </x:c>
      <x:c r="O498" s="16" t="str">
        <x:f>IF(A498="","",IF(OR(H498="Encerrado",H498="Descartado"),"Encerrado",IF(OR(H498="Sintomático",H498="Suspeito",H498="Confirmado",H498="Óbito"),"Requer avaliação/ação",IF(N498&lt;0,"Prazo concluído","Em monitoramento"))))</x:f>
      </x:c>
      <x:c r="P498" s="16" t="str">
        <x:f>IF(A498="","",IF(OR(E498="Manipulação do corpo",E498="Velório/funeral",E498="Sepultamento",E498="Limpeza/desinfecção"),"Pós-óbito",IF(OR(E498="Transporte do paciente",E498="Cuidado direto",E498="Contato com fluidos",E498="Serviço de saúde",E498="Laboratório"),"Exposição direta/assistencial","Exposição comunitária/outro")))</x:f>
      </x:c>
      <x:c r="Q498" s="16" t="str">
        <x:f>IF(A498="","",IF(P498="Pós-óbito","Sim","Não"))</x:f>
      </x:c>
    </x:row>
    <x:row r="499">
      <x:c r="A499" s="16" t="str"/>
      <x:c r="B499" s="16" t="str"/>
      <x:c r="C499" s="16" t="str"/>
      <x:c r="D499" s="28" t="str"/>
      <x:c r="E499" s="16" t="str"/>
      <x:c r="F499" s="16" t="str"/>
      <x:c r="G499" s="16" t="str"/>
      <x:c r="H499" s="16" t="str"/>
      <x:c r="I499" s="28" t="str"/>
      <x:c r="J499" s="28" t="str"/>
      <x:c r="K499" s="28" t="str"/>
      <x:c r="L499" s="16" t="str"/>
      <x:c r="M499" s="28" t="str">
        <x:f>IF(D499="","",D499+21)</x:f>
      </x:c>
      <x:c r="N499" s="16" t="str">
        <x:f>IF(M499="","",M499-TODAY())</x:f>
      </x:c>
      <x:c r="O499" s="16" t="str">
        <x:f>IF(A499="","",IF(OR(H499="Encerrado",H499="Descartado"),"Encerrado",IF(OR(H499="Sintomático",H499="Suspeito",H499="Confirmado",H499="Óbito"),"Requer avaliação/ação",IF(N499&lt;0,"Prazo concluído","Em monitoramento"))))</x:f>
      </x:c>
      <x:c r="P499" s="16" t="str">
        <x:f>IF(A499="","",IF(OR(E499="Manipulação do corpo",E499="Velório/funeral",E499="Sepultamento",E499="Limpeza/desinfecção"),"Pós-óbito",IF(OR(E499="Transporte do paciente",E499="Cuidado direto",E499="Contato com fluidos",E499="Serviço de saúde",E499="Laboratório"),"Exposição direta/assistencial","Exposição comunitária/outro")))</x:f>
      </x:c>
      <x:c r="Q499" s="16" t="str">
        <x:f>IF(A499="","",IF(P499="Pós-óbito","Sim","Não"))</x:f>
      </x:c>
    </x:row>
    <x:row r="500">
      <x:c r="A500" s="16" t="str"/>
      <x:c r="B500" s="16" t="str"/>
      <x:c r="C500" s="16" t="str"/>
      <x:c r="D500" s="28" t="str"/>
      <x:c r="E500" s="16" t="str"/>
      <x:c r="F500" s="16" t="str"/>
      <x:c r="G500" s="16" t="str"/>
      <x:c r="H500" s="16" t="str"/>
      <x:c r="I500" s="28" t="str"/>
      <x:c r="J500" s="28" t="str"/>
      <x:c r="K500" s="28" t="str"/>
      <x:c r="L500" s="16" t="str"/>
      <x:c r="M500" s="28" t="str">
        <x:f>IF(D500="","",D500+21)</x:f>
      </x:c>
      <x:c r="N500" s="16" t="str">
        <x:f>IF(M500="","",M500-TODAY())</x:f>
      </x:c>
      <x:c r="O500" s="16" t="str">
        <x:f>IF(A500="","",IF(OR(H500="Encerrado",H500="Descartado"),"Encerrado",IF(OR(H500="Sintomático",H500="Suspeito",H500="Confirmado",H500="Óbito"),"Requer avaliação/ação",IF(N500&lt;0,"Prazo concluído","Em monitoramento"))))</x:f>
      </x:c>
      <x:c r="P500" s="16" t="str">
        <x:f>IF(A500="","",IF(OR(E500="Manipulação do corpo",E500="Velório/funeral",E500="Sepultamento",E500="Limpeza/desinfecção"),"Pós-óbito",IF(OR(E500="Transporte do paciente",E500="Cuidado direto",E500="Contato com fluidos",E500="Serviço de saúde",E500="Laboratório"),"Exposição direta/assistencial","Exposição comunitária/outro")))</x:f>
      </x:c>
      <x:c r="Q500" s="16" t="str">
        <x:f>IF(A500="","",IF(P500="Pós-óbito","Sim","Não"))</x:f>
      </x:c>
    </x:row>
    <x:row r="501">
      <x:c r="A501" s="16" t="str"/>
      <x:c r="B501" s="16" t="str"/>
      <x:c r="C501" s="16" t="str"/>
      <x:c r="D501" s="28" t="str"/>
      <x:c r="E501" s="16" t="str"/>
      <x:c r="F501" s="16" t="str"/>
      <x:c r="G501" s="16" t="str"/>
      <x:c r="H501" s="16" t="str"/>
      <x:c r="I501" s="28" t="str"/>
      <x:c r="J501" s="28" t="str"/>
      <x:c r="K501" s="28" t="str"/>
      <x:c r="L501" s="16" t="str"/>
      <x:c r="M501" s="28" t="str">
        <x:f>IF(D501="","",D501+21)</x:f>
      </x:c>
      <x:c r="N501" s="16" t="str">
        <x:f>IF(M501="","",M501-TODAY())</x:f>
      </x:c>
      <x:c r="O501" s="16" t="str">
        <x:f>IF(A501="","",IF(OR(H501="Encerrado",H501="Descartado"),"Encerrado",IF(OR(H501="Sintomático",H501="Suspeito",H501="Confirmado",H501="Óbito"),"Requer avaliação/ação",IF(N501&lt;0,"Prazo concluído","Em monitoramento"))))</x:f>
      </x:c>
      <x:c r="P501" s="16" t="str">
        <x:f>IF(A501="","",IF(OR(E501="Manipulação do corpo",E501="Velório/funeral",E501="Sepultamento",E501="Limpeza/desinfecção"),"Pós-óbito",IF(OR(E501="Transporte do paciente",E501="Cuidado direto",E501="Contato com fluidos",E501="Serviço de saúde",E501="Laboratório"),"Exposição direta/assistencial","Exposição comunitária/outro")))</x:f>
      </x:c>
      <x:c r="Q501" s="16" t="str">
        <x:f>IF(A501="","",IF(P501="Pós-óbito","Sim","Não"))</x:f>
      </x:c>
    </x:row>
  </x:sheetData>
  <x:conditionalFormatting sqref="O2:O501">
    <x:cfRule type="expression" dxfId="0" priority="1">
      <x:formula>$O2="Requer avaliação/ação"</x:formula>
    </x:cfRule>
    <x:cfRule type="expression" dxfId="1" priority="2">
      <x:formula>$O2="Em monitoramento"</x:formula>
    </x:cfRule>
    <x:cfRule type="expression" dxfId="2" priority="3">
      <x:formula>$O2="Encerrado"</x:formula>
    </x:cfRule>
  </x:conditionalFormatting>
  <x:conditionalFormatting sqref="Q2:Q501">
    <x:cfRule type="expression" dxfId="3" priority="4">
      <x:formula>$Q2="Sim"</x:formula>
    </x:cfRule>
  </x:conditionalFormatting>
  <x:dataValidations count="3">
    <x:dataValidation type="list" sqref="E2:E501">
      <x:formula1>Opcoes!$C$2:$C$13</x:formula1>
    </x:dataValidation>
    <x:dataValidation type="list" sqref="G2:G501">
      <x:formula1>Opcoes!$A$2:$A$5</x:formula1>
    </x:dataValidation>
    <x:dataValidation type="list" sqref="H2:H501">
      <x:formula1>Opcoes!$B$2:$B$9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0f211443884d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5.130000114440918" hidden="0" customWidth="1"/>
    <x:col min="3" max="3" width="20.75" hidden="0" customWidth="1"/>
    <x:col min="4" max="4" width="18.6299991607666" hidden="0" customWidth="1"/>
    <x:col min="5" max="5" width="20.8799991607666" hidden="0" customWidth="1"/>
    <x:col min="7" max="7" width="25.25" hidden="0" customWidth="1"/>
    <x:col min="8" max="8" width="47.630001068115234" hidden="0" customWidth="1"/>
  </x:cols>
  <x:sheetData>
    <x:row r="1">
      <x:c r="A1" s="38" t="str">
        <x:v>Risco</x:v>
      </x:c>
      <x:c r="B1" s="38" t="str">
        <x:v>Evolução</x:v>
      </x:c>
      <x:c r="C1" s="38" t="str">
        <x:v>Tipo de contato/exposição</x:v>
      </x:c>
      <x:c r="D1" s="38" t="str">
        <x:v>Sim/Não/Desconhecido</x:v>
      </x:c>
      <x:c r="E1" s="38" t="str">
        <x:v>Situação do caso</x:v>
      </x:c>
      <x:c r="F1" s="38"/>
      <x:c r="G1" s="38" t="str">
        <x:v>Condição clínica na detecção</x:v>
      </x:c>
      <x:c r="H1" s="38" t="str">
        <x:v>Tipo da data de sintomas</x:v>
      </x:c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t="str">
        <x:v>Não classificado</x:v>
      </x:c>
      <x:c r="B2" t="str">
        <x:v>Em monitoramento</x:v>
      </x:c>
      <x:c r="C2" t="str">
        <x:v>Contato domiciliar</x:v>
      </x:c>
      <x:c r="D2" t="str">
        <x:v>Não</x:v>
      </x:c>
      <x:c r="E2" t="str">
        <x:v>Vivo/em acompanhamento</x:v>
      </x:c>
      <x:c r="G2" t="str">
        <x:v>Sintomas secos/iniciais</x:v>
      </x:c>
      <x:c r="H2" t="str">
        <x:v>Data real observada</x:v>
      </x:c>
    </x:row>
    <x:row r="3">
      <x:c r="A3" t="str">
        <x:v>Baixo</x:v>
      </x:c>
      <x:c r="B3" t="str">
        <x:v>Assintomático</x:v>
      </x:c>
      <x:c r="C3" t="str">
        <x:v>Cuidado direto</x:v>
      </x:c>
      <x:c r="D3" t="str">
        <x:v>Sim</x:v>
      </x:c>
      <x:c r="E3" t="str">
        <x:v>Óbito</x:v>
      </x:c>
      <x:c r="G3" t="str">
        <x:v>Sintomas úmidos/tardios</x:v>
      </x:c>
      <x:c r="H3" t="str">
        <x:v>Data estimada pela investigação</x:v>
      </x:c>
    </x:row>
    <x:row r="4">
      <x:c r="A4" t="str">
        <x:v>Moderado</x:v>
      </x:c>
      <x:c r="B4" t="str">
        <x:v>Sintomático</x:v>
      </x:c>
      <x:c r="C4" t="str">
        <x:v>Serviço de saúde</x:v>
      </x:c>
      <x:c r="D4" t="str">
        <x:v>Desconhecido</x:v>
      </x:c>
      <x:c r="E4" t="str">
        <x:v>Ignorado</x:v>
      </x:c>
      <x:c r="G4" t="str">
        <x:v>Sinais de gravidade</x:v>
      </x:c>
      <x:c r="H4" t="str">
        <x:v>Data aproximada/informada indiretamente</x:v>
      </x:c>
    </x:row>
    <x:row r="5">
      <x:c r="A5" t="str">
        <x:v>Alto</x:v>
      </x:c>
      <x:c r="B5" t="str">
        <x:v>Suspeito</x:v>
      </x:c>
      <x:c r="C5" t="str">
        <x:v>Laboratório</x:v>
      </x:c>
      <x:c r="D5" t="str"/>
      <x:c r="E5" t="str"/>
      <x:c r="G5" t="str">
        <x:v>Sangramento observado</x:v>
      </x:c>
      <x:c r="H5" t="str">
        <x:v>Estimado retrospectivamente pela condição clínica na detecção</x:v>
      </x:c>
    </x:row>
    <x:row r="6">
      <x:c r="A6" t="str"/>
      <x:c r="B6" t="str">
        <x:v>Confirmado</x:v>
      </x:c>
      <x:c r="C6" t="str">
        <x:v>Transporte do paciente</x:v>
      </x:c>
      <x:c r="D6" t="str"/>
      <x:c r="E6" t="str"/>
      <x:c r="G6" t="str">
        <x:v>Óbito</x:v>
      </x:c>
      <x:c r="H6" t="str">
        <x:v>Estimado retrospectivamente pela data do óbito</x:v>
      </x:c>
    </x:row>
    <x:row r="7">
      <x:c r="A7" t="str"/>
      <x:c r="B7" t="str">
        <x:v>Descartado</x:v>
      </x:c>
      <x:c r="C7" t="str">
        <x:v>Contato com fluidos</x:v>
      </x:c>
      <x:c r="D7" t="str"/>
      <x:c r="E7" t="str"/>
      <x:c r="G7" t="str">
        <x:v>Sem informação clínica suficiente</x:v>
      </x:c>
      <x:c r="H7" t="str"/>
    </x:row>
    <x:row r="8">
      <x:c r="A8" t="str"/>
      <x:c r="B8" t="str">
        <x:v>Óbito</x:v>
      </x:c>
      <x:c r="C8" t="str">
        <x:v>Manipulação do corpo</x:v>
      </x:c>
      <x:c r="D8" t="str"/>
      <x:c r="E8" t="str"/>
    </x:row>
    <x:row r="9">
      <x:c r="A9" t="str"/>
      <x:c r="B9" t="str">
        <x:v>Encerrado</x:v>
      </x:c>
      <x:c r="C9" t="str">
        <x:v>Velório/funeral</x:v>
      </x:c>
      <x:c r="D9" t="str"/>
      <x:c r="E9" t="str"/>
    </x:row>
    <x:row r="10">
      <x:c r="A10" t="str"/>
      <x:c r="B10" t="str"/>
      <x:c r="C10" t="str">
        <x:v>Sepultamento</x:v>
      </x:c>
      <x:c r="D10" t="str"/>
      <x:c r="E10" t="str"/>
    </x:row>
    <x:row r="11">
      <x:c r="A11" t="str"/>
      <x:c r="B11" t="str"/>
      <x:c r="C11" t="str">
        <x:v>Limpeza/desinfecção</x:v>
      </x:c>
      <x:c r="D11" t="str"/>
      <x:c r="E11" t="str"/>
    </x:row>
    <x:row r="12">
      <x:c r="A12" t="str"/>
      <x:c r="B12" t="str"/>
      <x:c r="C12" t="str">
        <x:v>Comunidade/evento</x:v>
      </x:c>
      <x:c r="D12" t="str"/>
      <x:c r="E12" t="str"/>
    </x:row>
    <x:row r="13">
      <x:c r="A13" t="str"/>
      <x:c r="B13" t="str"/>
      <x:c r="C13" t="str">
        <x:v>Outro</x:v>
      </x:c>
      <x:c r="D13" t="str"/>
      <x:c r="E1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4" max="4" width="28" hidden="0" customWidth="1"/>
    <x:col min="5" max="5" width="28" hidden="0" customWidth="1"/>
  </x:cols>
  <x:sheetData>
    <x:row r="1">
      <x:c r="A1" s="32" t="str">
        <x:v>PAINEL RESUMO — CONTATOS EBOLA V9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3">
      <x:c r="A3" s="18" t="str">
        <x:v>Indicador</x:v>
      </x:c>
      <x:c r="B3" s="18" t="str">
        <x:v>Fórmula/valor</x:v>
      </x:c>
      <x:c r="D3" s="18" t="str">
        <x:v>Tipo de contato/exposição</x:v>
      </x:c>
      <x:c r="E3" s="18" t="str">
        <x:v>Quantidade</x:v>
      </x:c>
    </x:row>
    <x:row r="4">
      <x:c r="A4" s="13" t="str">
        <x:v>Total de contatos cadastrados</x:v>
      </x:c>
      <x:c r="B4" s="30" t="n">
        <x:f>COUNTA(Contatos_Importar!A2:A501)</x:f>
        <x:v>500</x:v>
      </x:c>
      <x:c r="D4" t="str">
        <x:v>Manipulação do corpo</x:v>
      </x:c>
      <x:c r="E4" t="n">
        <x:f>COUNTIF(Contatos_Importar!E2:E501,"Manipulação do corpo")</x:f>
        <x:v>0</x:v>
      </x:c>
    </x:row>
    <x:row r="5">
      <x:c r="A5" s="13" t="str">
        <x:v>Contatos pós-óbito</x:v>
      </x:c>
      <x:c r="B5" s="30" t="n">
        <x:f>COUNTIF(Contatos_Importar!Q2:Q501,"Sim")</x:f>
        <x:v>0</x:v>
      </x:c>
      <x:c r="D5" t="str">
        <x:v>Velório/funeral</x:v>
      </x:c>
      <x:c r="E5" t="n">
        <x:f>COUNTIF(Contatos_Importar!E2:E501,"Velório/funeral")</x:f>
        <x:v>0</x:v>
      </x:c>
    </x:row>
    <x:row r="6">
      <x:c r="A6" s="13" t="str">
        <x:v>Requer avaliação/ação</x:v>
      </x:c>
      <x:c r="B6" s="30" t="n">
        <x:f>COUNTIF(Contatos_Importar!O2:O501,"Requer avaliação/ação")</x:f>
        <x:v>0</x:v>
      </x:c>
      <x:c r="D6" t="str">
        <x:v>Sepultamento</x:v>
      </x:c>
      <x:c r="E6" t="n">
        <x:f>COUNTIF(Contatos_Importar!E2:E501,"Sepultamento")</x:f>
        <x:v>0</x:v>
      </x:c>
    </x:row>
    <x:row r="7">
      <x:c r="A7" s="13" t="str">
        <x:v>Em monitoramento</x:v>
      </x:c>
      <x:c r="B7" s="30" t="n">
        <x:f>COUNTIF(Contatos_Importar!O2:O501,"Em monitoramento")</x:f>
        <x:v>0</x:v>
      </x:c>
      <x:c r="D7" t="str">
        <x:v>Limpeza/desinfecção</x:v>
      </x:c>
      <x:c r="E7" t="n">
        <x:f>COUNTIF(Contatos_Importar!E2:E501,"Limpeza/desinfecção")</x:f>
        <x:v>0</x:v>
      </x:c>
    </x:row>
    <x:row r="8">
      <x:c r="A8" s="13" t="str">
        <x:v>Encerrados/descartados</x:v>
      </x:c>
      <x:c r="B8" s="30" t="n">
        <x:f>COUNTIF(Contatos_Importar!O2:O501,"Encerrado")</x:f>
        <x:v>0</x:v>
      </x:c>
      <x:c r="D8" t="str">
        <x:v>Transporte do paciente</x:v>
      </x:c>
      <x:c r="E8" t="n">
        <x:f>COUNTIF(Contatos_Importar!E2:E501,"Transporte do paciente")</x:f>
        <x:v>0</x:v>
      </x:c>
    </x:row>
    <x:row r="9">
      <x:c r="A9" s="13" t="str">
        <x:v>Risco alto</x:v>
      </x:c>
      <x:c r="B9" s="30" t="n">
        <x:f>COUNTIF(Contatos_Importar!G2:G501,"Alto")</x:f>
        <x:v>0</x:v>
      </x:c>
    </x:row>
    <x:row r="10">
      <x:c r="A10" s="13" t="str">
        <x:v>Risco moderado</x:v>
      </x:c>
      <x:c r="B10" s="30" t="n">
        <x:f>COUNTIF(Contatos_Importar!G2:G501,"Moderado")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9eb2394651b49f4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8" hidden="0" customWidth="1"/>
    <x:col min="5" max="5" width="24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22" hidden="0" customWidth="1"/>
    <x:col min="11" max="11" width="18" hidden="0" customWidth="1"/>
    <x:col min="12" max="12" width="35" hidden="0" customWidth="1"/>
    <x:col min="13" max="13" width="18" hidden="0" customWidth="1"/>
    <x:col min="14" max="14" width="14" hidden="0" customWidth="1"/>
    <x:col min="15" max="15" width="24" hidden="0" customWidth="1"/>
    <x:col min="16" max="16" width="26" hidden="0" customWidth="1"/>
    <x:col min="17" max="17" width="18" hidden="0" customWidth="1"/>
  </x:cols>
  <x:sheetData>
    <x:row r="1">
      <x:c r="A1" s="36" t="str">
        <x:v>identificador</x:v>
      </x:c>
      <x:c r="B1" s="36" t="str">
        <x:v>nome_codigo</x:v>
      </x:c>
      <x:c r="C1" s="36" t="str">
        <x:v>caso_origem</x:v>
      </x:c>
      <x:c r="D1" s="36" t="str">
        <x:v>data_ultimo_contato</x:v>
      </x:c>
      <x:c r="E1" s="36" t="str">
        <x:v>tipo_contato</x:v>
      </x:c>
      <x:c r="F1" s="36" t="str">
        <x:v>municipio</x:v>
      </x:c>
      <x:c r="G1" s="36" t="str">
        <x:v>risco</x:v>
      </x:c>
      <x:c r="H1" s="36" t="str">
        <x:v>evolucao</x:v>
      </x:c>
      <x:c r="I1" s="36" t="str">
        <x:v>data_inicio_sintomas</x:v>
      </x:c>
      <x:c r="J1" s="36" t="str">
        <x:v>data_fim_transmissibilidade</x:v>
      </x:c>
      <x:c r="K1" s="36" t="str">
        <x:v>data_ultima_avaliacao</x:v>
      </x:c>
      <x:c r="L1" s="36" t="str">
        <x:v>observacao</x:v>
      </x:c>
      <x:c r="M1" s="36" t="str">
        <x:v>monitorar_ate_21d</x:v>
      </x:c>
      <x:c r="N1" s="36" t="str">
        <x:v>dias_restantes</x:v>
      </x:c>
      <x:c r="O1" s="36" t="str">
        <x:v>situacao_prazo</x:v>
      </x:c>
      <x:c r="P1" s="36" t="str">
        <x:v>tipo_exposicao_operacional</x:v>
      </x:c>
      <x:c r="Q1" s="36" t="str">
        <x:v>pos_obito_sugestivo</x:v>
      </x:c>
    </x:row>
    <x:row r="2">
      <x:c r="A2" t="str">
        <x:v>C001</x:v>
      </x:c>
      <x:c r="B2" t="str">
        <x:v>Familiar 01</x:v>
      </x:c>
      <x:c r="C2" t="str">
        <x:v>Caso índice</x:v>
      </x:c>
      <x:c r="D2" s="26" t="n">
        <x:v>46168</x:v>
      </x:c>
      <x:c r="E2" t="str">
        <x:v>Contato domiciliar</x:v>
      </x:c>
      <x:c r="F2" t="str">
        <x:v>Cuiabá</x:v>
      </x:c>
      <x:c r="G2" t="str">
        <x:v>Alto</x:v>
      </x:c>
      <x:c r="H2" t="str">
        <x:v>Em monitoramento</x:v>
      </x:c>
      <x:c r="I2" s="26" t="str"/>
      <x:c r="J2" s="26" t="str"/>
      <x:c r="K2" s="26" t="n">
        <x:v>46174</x:v>
      </x:c>
      <x:c r="L2" t="str">
        <x:v>Contato em vida durante fase sintomática</x:v>
      </x:c>
      <x:c r="M2" s="26" t="n">
        <x:f>IF(D2="","",D2+21)</x:f>
        <x:v>46189</x:v>
      </x:c>
      <x:c r="N2" t="n">
        <x:f>IF(M2="","",M2-TODAY())</x:f>
        <x:v>1</x:v>
      </x:c>
      <x:c r="O2" t="str">
        <x:f>IF(A2="","",IF(OR(H2="Encerrado",H2="Descartado"),"Encerrado",IF(OR(H2="Sintomático",H2="Suspeito",H2="Confirmado",H2="Óbito"),"Requer avaliação/ação",IF(N2&lt;0,"Prazo concluído","Em monitoramento"))))</x:f>
        <x:v>Em monitoramento</x:v>
      </x:c>
      <x:c r="P2" t="str">
        <x:f>IF(A2="","",IF(OR(E2="Manipulação do corpo",E2="Velório/funeral",E2="Sepultamento",E2="Limpeza/desinfecção"),"Pós-óbito",IF(OR(E2="Transporte do paciente",E2="Cuidado direto",E2="Contato com fluidos",E2="Serviço de saúde",E2="Laboratório"),"Exposição direta/assistencial","Exposição comunitária/outro")))</x:f>
        <x:v>Exposição comunitária/outro</x:v>
      </x:c>
      <x:c r="Q2" t="str">
        <x:f>IF(A2="","",IF(P2="Pós-óbito","Sim","Não"))</x:f>
        <x:v>Não</x:v>
      </x:c>
    </x:row>
    <x:row r="3">
      <x:c r="A3" t="str">
        <x:v>C002</x:v>
      </x:c>
      <x:c r="B3" t="str">
        <x:v>Cuidador 01</x:v>
      </x:c>
      <x:c r="C3" t="str">
        <x:v>Caso índice</x:v>
      </x:c>
      <x:c r="D3" s="26" t="n">
        <x:v>46170</x:v>
      </x:c>
      <x:c r="E3" t="str">
        <x:v>Cuidado direto</x:v>
      </x:c>
      <x:c r="F3" t="str">
        <x:v>Cuiabá</x:v>
      </x:c>
      <x:c r="G3" t="str">
        <x:v>Alto</x:v>
      </x:c>
      <x:c r="H3" t="str">
        <x:v>Assintomático</x:v>
      </x:c>
      <x:c r="I3" s="26" t="str"/>
      <x:c r="J3" s="26" t="str"/>
      <x:c r="K3" s="26" t="n">
        <x:v>46174</x:v>
      </x:c>
      <x:c r="L3" t="str">
        <x:v>Cuidado direto sem informação completa de EPI</x:v>
      </x:c>
      <x:c r="M3" s="26" t="n">
        <x:f>IF(D3="","",D3+21)</x:f>
        <x:v>46191</x:v>
      </x:c>
      <x:c r="N3" t="n">
        <x:f>IF(M3="","",M3-TODAY())</x:f>
        <x:v>3</x:v>
      </x:c>
      <x:c r="O3" t="str">
        <x:f>IF(A3="","",IF(OR(H3="Encerrado",H3="Descartado"),"Encerrado",IF(OR(H3="Sintomático",H3="Suspeito",H3="Confirmado",H3="Óbito"),"Requer avaliação/ação",IF(N3&lt;0,"Prazo concluído","Em monitoramento"))))</x:f>
        <x:v>Em monitoramento</x:v>
      </x:c>
      <x:c r="P3" t="str">
        <x:f>IF(A3="","",IF(OR(E3="Manipulação do corpo",E3="Velório/funeral",E3="Sepultamento",E3="Limpeza/desinfecção"),"Pós-óbito",IF(OR(E3="Transporte do paciente",E3="Cuidado direto",E3="Contato com fluidos",E3="Serviço de saúde",E3="Laboratório"),"Exposição direta/assistencial","Exposição comunitária/outro")))</x:f>
        <x:v>Exposição direta/assistencial</x:v>
      </x:c>
      <x:c r="Q3" t="str">
        <x:f>IF(A3="","",IF(P3="Pós-óbito","Sim","Não"))</x:f>
        <x:v>Não</x:v>
      </x:c>
    </x:row>
    <x:row r="4">
      <x:c r="A4" t="str">
        <x:v>C003</x:v>
      </x:c>
      <x:c r="B4" t="str">
        <x:v>Familiar pós-óbito</x:v>
      </x:c>
      <x:c r="C4" t="str">
        <x:v>Caso índice</x:v>
      </x:c>
      <x:c r="D4" s="26" t="n">
        <x:v>46173</x:v>
      </x:c>
      <x:c r="E4" t="str">
        <x:v>Velório/funeral</x:v>
      </x:c>
      <x:c r="F4" t="str">
        <x:v>Cuiabá</x:v>
      </x:c>
      <x:c r="G4" t="str">
        <x:v>Alto</x:v>
      </x:c>
      <x:c r="H4" t="str">
        <x:v>Em monitoramento</x:v>
      </x:c>
      <x:c r="I4" s="26" t="str"/>
      <x:c r="J4" s="26" t="str"/>
      <x:c r="K4" s="26" t="n">
        <x:v>46174</x:v>
      </x:c>
      <x:c r="L4" t="str">
        <x:v>Possível contato pós-óbito</x:v>
      </x:c>
      <x:c r="M4" s="26" t="n">
        <x:f>IF(D4="","",D4+21)</x:f>
        <x:v>46194</x:v>
      </x:c>
      <x:c r="N4" t="n">
        <x:f>IF(M4="","",M4-TODAY())</x:f>
        <x:v>6</x:v>
      </x:c>
      <x:c r="O4" t="str">
        <x:f>IF(A4="","",IF(OR(H4="Encerrado",H4="Descartado"),"Encerrado",IF(OR(H4="Sintomático",H4="Suspeito",H4="Confirmado",H4="Óbito"),"Requer avaliação/ação",IF(N4&lt;0,"Prazo concluído","Em monitoramento"))))</x:f>
        <x:v>Em monitoramento</x:v>
      </x:c>
      <x:c r="P4" t="str">
        <x:f>IF(A4="","",IF(OR(E4="Manipulação do corpo",E4="Velório/funeral",E4="Sepultamento",E4="Limpeza/desinfecção"),"Pós-óbito",IF(OR(E4="Transporte do paciente",E4="Cuidado direto",E4="Contato com fluidos",E4="Serviço de saúde",E4="Laboratório"),"Exposição direta/assistencial","Exposição comunitária/outro")))</x:f>
        <x:v>Pós-óbito</x:v>
      </x:c>
      <x:c r="Q4" t="str">
        <x:f>IF(A4="","",IF(P4="Pós-óbito","Sim","Não"))</x:f>
        <x:v>Sim</x:v>
      </x:c>
    </x:row>
    <x:row r="5">
      <x:c r="A5" t="str">
        <x:v>C004</x:v>
      </x:c>
      <x:c r="B5" t="str">
        <x:v>Equipe limpeza</x:v>
      </x:c>
      <x:c r="C5" t="str">
        <x:v>Caso índice</x:v>
      </x:c>
      <x:c r="D5" s="26" t="n">
        <x:v>46173</x:v>
      </x:c>
      <x:c r="E5" t="str">
        <x:v>Limpeza/desinfecção</x:v>
      </x:c>
      <x:c r="F5" t="str">
        <x:v>Cuiabá</x:v>
      </x:c>
      <x:c r="G5" t="str">
        <x:v>Moderado</x:v>
      </x:c>
      <x:c r="H5" t="str">
        <x:v>Em monitoramento</x:v>
      </x:c>
      <x:c r="I5" s="26" t="str"/>
      <x:c r="J5" s="26" t="str"/>
      <x:c r="K5" s="26" t="n">
        <x:v>46174</x:v>
      </x:c>
      <x:c r="L5" t="str">
        <x:v>Exposição ambiental pós-óbito</x:v>
      </x:c>
      <x:c r="M5" s="26" t="n">
        <x:f>IF(D5="","",D5+21)</x:f>
        <x:v>46194</x:v>
      </x:c>
      <x:c r="N5" t="n">
        <x:f>IF(M5="","",M5-TODAY())</x:f>
        <x:v>6</x:v>
      </x:c>
      <x:c r="O5" t="str">
        <x:f>IF(A5="","",IF(OR(H5="Encerrado",H5="Descartado"),"Encerrado",IF(OR(H5="Sintomático",H5="Suspeito",H5="Confirmado",H5="Óbito"),"Requer avaliação/ação",IF(N5&lt;0,"Prazo concluído","Em monitoramento"))))</x:f>
        <x:v>Em monitoramento</x:v>
      </x:c>
      <x:c r="P5" t="str">
        <x:f>IF(A5="","",IF(OR(E5="Manipulação do corpo",E5="Velório/funeral",E5="Sepultamento",E5="Limpeza/desinfecção"),"Pós-óbito",IF(OR(E5="Transporte do paciente",E5="Cuidado direto",E5="Contato com fluidos",E5="Serviço de saúde",E5="Laboratório"),"Exposição direta/assistencial","Exposição comunitária/outro")))</x:f>
        <x:v>Pós-óbito</x:v>
      </x:c>
      <x:c r="Q5" t="str">
        <x:f>IF(A5="","",IF(P5="Pós-óbito","Sim","Não"))</x:f>
        <x:v>Sim</x:v>
      </x:c>
    </x:row>
  </x:sheetData>
  <x:pageMargins left="0.7" right="0.7" top="0.75" bottom="0.75" header="0.3" footer="0.3"/>
</x:worksheet>
</file>